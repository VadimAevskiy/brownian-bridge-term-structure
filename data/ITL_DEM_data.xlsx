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15180" windowHeight="10380"/>
  </bookViews>
  <sheets>
    <sheet name="data (2)" sheetId="5" r:id="rId1"/>
    <sheet name="data" sheetId="1" r:id="rId2"/>
    <sheet name="ITL week 1996.01.01 (2)" sheetId="4" r:id="rId3"/>
  </sheets>
  <calcPr calcId="114210"/>
</workbook>
</file>

<file path=xl/calcChain.xml><?xml version="1.0" encoding="utf-8"?>
<calcChain xmlns="http://schemas.openxmlformats.org/spreadsheetml/2006/main">
  <c r="M269" i="5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270" i="1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269"/>
  <c r="E140" i="4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F12"/>
  <c r="E11"/>
  <c r="F11"/>
  <c r="E10"/>
  <c r="E9"/>
  <c r="E8"/>
  <c r="F8"/>
  <c r="E7"/>
  <c r="F7"/>
  <c r="E6"/>
  <c r="E5"/>
  <c r="E4"/>
  <c r="F4"/>
  <c r="E3"/>
  <c r="F3"/>
  <c r="I2"/>
  <c r="G2"/>
  <c r="L2"/>
  <c r="E2"/>
  <c r="E1"/>
  <c r="M2"/>
  <c r="N2"/>
  <c r="O2"/>
  <c r="L3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2"/>
  <c r="I3"/>
  <c r="J2"/>
  <c r="F5"/>
  <c r="F9"/>
  <c r="F6"/>
  <c r="F10"/>
  <c r="L4"/>
  <c r="M3"/>
  <c r="N3"/>
  <c r="O3"/>
  <c r="I4"/>
  <c r="J3"/>
  <c r="I5"/>
  <c r="J4"/>
  <c r="L5"/>
  <c r="M4"/>
  <c r="N4"/>
  <c r="O4"/>
  <c r="I6"/>
  <c r="J5"/>
  <c r="L6"/>
  <c r="M5"/>
  <c r="N5"/>
  <c r="O5"/>
  <c r="L7"/>
  <c r="M6"/>
  <c r="N6"/>
  <c r="O6"/>
  <c r="I7"/>
  <c r="J6"/>
  <c r="I8"/>
  <c r="J7"/>
  <c r="L8"/>
  <c r="M7"/>
  <c r="N7"/>
  <c r="O7"/>
  <c r="L9"/>
  <c r="M8"/>
  <c r="N8"/>
  <c r="O8"/>
  <c r="I9"/>
  <c r="J8"/>
  <c r="I10"/>
  <c r="J9"/>
  <c r="L10"/>
  <c r="M9"/>
  <c r="N9"/>
  <c r="O9"/>
  <c r="L11"/>
  <c r="M10"/>
  <c r="N10"/>
  <c r="O10"/>
  <c r="I11"/>
  <c r="J10"/>
  <c r="L12"/>
  <c r="M11"/>
  <c r="N11"/>
  <c r="O11"/>
  <c r="I12"/>
  <c r="J11"/>
  <c r="J12"/>
  <c r="I13"/>
  <c r="L13"/>
  <c r="M12"/>
  <c r="N12"/>
  <c r="O12"/>
  <c r="J13"/>
  <c r="I14"/>
  <c r="M13"/>
  <c r="N13"/>
  <c r="O13"/>
  <c r="L14"/>
  <c r="J14"/>
  <c r="I15"/>
  <c r="M14"/>
  <c r="N14"/>
  <c r="O14"/>
  <c r="L15"/>
  <c r="J15"/>
  <c r="I16"/>
  <c r="M15"/>
  <c r="N15"/>
  <c r="O15"/>
  <c r="L16"/>
  <c r="J16"/>
  <c r="I17"/>
  <c r="M16"/>
  <c r="N16"/>
  <c r="O16"/>
  <c r="L17"/>
  <c r="J17"/>
  <c r="I18"/>
  <c r="M17"/>
  <c r="N17"/>
  <c r="O17"/>
  <c r="L18"/>
  <c r="J18"/>
  <c r="I19"/>
  <c r="M18"/>
  <c r="N18"/>
  <c r="O18"/>
  <c r="L19"/>
  <c r="J19"/>
  <c r="I20"/>
  <c r="M19"/>
  <c r="N19"/>
  <c r="O19"/>
  <c r="L20"/>
  <c r="J20"/>
  <c r="I21"/>
  <c r="M20"/>
  <c r="N20"/>
  <c r="O20"/>
  <c r="L21"/>
  <c r="J21"/>
  <c r="I22"/>
  <c r="M21"/>
  <c r="N21"/>
  <c r="O21"/>
  <c r="L22"/>
  <c r="J22"/>
  <c r="I23"/>
  <c r="M22"/>
  <c r="N22"/>
  <c r="O22"/>
  <c r="L23"/>
  <c r="J23"/>
  <c r="I24"/>
  <c r="M23"/>
  <c r="N23"/>
  <c r="O23"/>
  <c r="L24"/>
  <c r="J24"/>
  <c r="I25"/>
  <c r="M24"/>
  <c r="N24"/>
  <c r="O24"/>
  <c r="L25"/>
  <c r="J25"/>
  <c r="I26"/>
  <c r="M25"/>
  <c r="N25"/>
  <c r="O25"/>
  <c r="L26"/>
  <c r="J26"/>
  <c r="I27"/>
  <c r="M26"/>
  <c r="N26"/>
  <c r="O26"/>
  <c r="L27"/>
  <c r="J27"/>
  <c r="I28"/>
  <c r="M27"/>
  <c r="N27"/>
  <c r="O27"/>
  <c r="L28"/>
  <c r="J28"/>
  <c r="I29"/>
  <c r="M28"/>
  <c r="N28"/>
  <c r="O28"/>
  <c r="L29"/>
  <c r="J29"/>
  <c r="I30"/>
  <c r="M29"/>
  <c r="N29"/>
  <c r="O29"/>
  <c r="L30"/>
  <c r="J30"/>
  <c r="I31"/>
  <c r="M30"/>
  <c r="N30"/>
  <c r="O30"/>
  <c r="L31"/>
  <c r="J31"/>
  <c r="I32"/>
  <c r="M31"/>
  <c r="N31"/>
  <c r="O31"/>
  <c r="L32"/>
  <c r="J32"/>
  <c r="I33"/>
  <c r="M32"/>
  <c r="N32"/>
  <c r="O32"/>
  <c r="L33"/>
  <c r="J33"/>
  <c r="I34"/>
  <c r="M33"/>
  <c r="N33"/>
  <c r="O33"/>
  <c r="L34"/>
  <c r="J34"/>
  <c r="I35"/>
  <c r="M34"/>
  <c r="N34"/>
  <c r="O34"/>
  <c r="L35"/>
  <c r="J35"/>
  <c r="I36"/>
  <c r="M35"/>
  <c r="N35"/>
  <c r="O35"/>
  <c r="L36"/>
  <c r="J36"/>
  <c r="I37"/>
  <c r="M36"/>
  <c r="N36"/>
  <c r="O36"/>
  <c r="L37"/>
  <c r="J37"/>
  <c r="I38"/>
  <c r="M37"/>
  <c r="N37"/>
  <c r="O37"/>
  <c r="L38"/>
  <c r="J38"/>
  <c r="I39"/>
  <c r="M38"/>
  <c r="N38"/>
  <c r="O38"/>
  <c r="L39"/>
  <c r="J39"/>
  <c r="I40"/>
  <c r="M39"/>
  <c r="N39"/>
  <c r="O39"/>
  <c r="L40"/>
  <c r="J40"/>
  <c r="I41"/>
  <c r="M40"/>
  <c r="N40"/>
  <c r="O40"/>
  <c r="L41"/>
  <c r="J41"/>
  <c r="I42"/>
  <c r="M41"/>
  <c r="N41"/>
  <c r="O41"/>
  <c r="L42"/>
  <c r="J42"/>
  <c r="I43"/>
  <c r="M42"/>
  <c r="N42"/>
  <c r="O42"/>
  <c r="L43"/>
  <c r="J43"/>
  <c r="I44"/>
  <c r="M43"/>
  <c r="N43"/>
  <c r="O43"/>
  <c r="L44"/>
  <c r="J44"/>
  <c r="I45"/>
  <c r="M44"/>
  <c r="N44"/>
  <c r="O44"/>
  <c r="L45"/>
  <c r="J45"/>
  <c r="I46"/>
  <c r="M45"/>
  <c r="N45"/>
  <c r="O45"/>
  <c r="L46"/>
  <c r="J46"/>
  <c r="I47"/>
  <c r="M46"/>
  <c r="N46"/>
  <c r="O46"/>
  <c r="L47"/>
  <c r="J47"/>
  <c r="I48"/>
  <c r="M47"/>
  <c r="N47"/>
  <c r="O47"/>
  <c r="L48"/>
  <c r="J48"/>
  <c r="I49"/>
  <c r="M48"/>
  <c r="N48"/>
  <c r="O48"/>
  <c r="L49"/>
  <c r="J49"/>
  <c r="I50"/>
  <c r="M49"/>
  <c r="N49"/>
  <c r="O49"/>
  <c r="L50"/>
  <c r="J50"/>
  <c r="I51"/>
  <c r="M50"/>
  <c r="N50"/>
  <c r="O50"/>
  <c r="L51"/>
  <c r="J51"/>
  <c r="I52"/>
  <c r="M51"/>
  <c r="N51"/>
  <c r="O51"/>
  <c r="L52"/>
  <c r="J52"/>
  <c r="I53"/>
  <c r="M52"/>
  <c r="N52"/>
  <c r="O52"/>
  <c r="L53"/>
  <c r="J53"/>
  <c r="I54"/>
  <c r="M53"/>
  <c r="N53"/>
  <c r="O53"/>
  <c r="L54"/>
  <c r="J54"/>
  <c r="I55"/>
  <c r="M54"/>
  <c r="N54"/>
  <c r="O54"/>
  <c r="L55"/>
  <c r="J55"/>
  <c r="I56"/>
  <c r="M55"/>
  <c r="N55"/>
  <c r="O55"/>
  <c r="L56"/>
  <c r="J56"/>
  <c r="I57"/>
  <c r="M56"/>
  <c r="N56"/>
  <c r="O56"/>
  <c r="L57"/>
  <c r="J57"/>
  <c r="I58"/>
  <c r="M57"/>
  <c r="N57"/>
  <c r="O57"/>
  <c r="L58"/>
  <c r="J58"/>
  <c r="I59"/>
  <c r="M58"/>
  <c r="N58"/>
  <c r="O58"/>
  <c r="L59"/>
  <c r="J59"/>
  <c r="I60"/>
  <c r="M59"/>
  <c r="N59"/>
  <c r="O59"/>
  <c r="L60"/>
  <c r="J60"/>
  <c r="I61"/>
  <c r="M60"/>
  <c r="N60"/>
  <c r="O60"/>
  <c r="L61"/>
  <c r="J61"/>
  <c r="I62"/>
  <c r="M61"/>
  <c r="N61"/>
  <c r="O61"/>
  <c r="L62"/>
  <c r="J62"/>
  <c r="I63"/>
  <c r="M62"/>
  <c r="N62"/>
  <c r="O62"/>
  <c r="L63"/>
  <c r="J63"/>
  <c r="I64"/>
  <c r="M63"/>
  <c r="N63"/>
  <c r="O63"/>
  <c r="L64"/>
  <c r="I65"/>
  <c r="J64"/>
  <c r="M64"/>
  <c r="N64"/>
  <c r="O64"/>
  <c r="L65"/>
  <c r="J65"/>
  <c r="I66"/>
  <c r="M65"/>
  <c r="N65"/>
  <c r="O65"/>
  <c r="L66"/>
  <c r="J66"/>
  <c r="I67"/>
  <c r="M66"/>
  <c r="N66"/>
  <c r="O66"/>
  <c r="L67"/>
  <c r="J67"/>
  <c r="I68"/>
  <c r="M67"/>
  <c r="N67"/>
  <c r="O67"/>
  <c r="L68"/>
  <c r="J68"/>
  <c r="I69"/>
  <c r="M68"/>
  <c r="N68"/>
  <c r="O68"/>
  <c r="L69"/>
  <c r="J69"/>
  <c r="I70"/>
  <c r="M69"/>
  <c r="N69"/>
  <c r="O69"/>
  <c r="L70"/>
  <c r="I71"/>
  <c r="J70"/>
  <c r="M70"/>
  <c r="N70"/>
  <c r="O70"/>
  <c r="L71"/>
  <c r="J71"/>
  <c r="I72"/>
  <c r="M71"/>
  <c r="N71"/>
  <c r="O71"/>
  <c r="L72"/>
  <c r="J72"/>
  <c r="I73"/>
  <c r="M72"/>
  <c r="N72"/>
  <c r="O72"/>
  <c r="L73"/>
  <c r="J73"/>
  <c r="I74"/>
  <c r="M73"/>
  <c r="N73"/>
  <c r="O73"/>
  <c r="L74"/>
  <c r="I75"/>
  <c r="J74"/>
  <c r="M74"/>
  <c r="N74"/>
  <c r="O74"/>
  <c r="L75"/>
  <c r="J75"/>
  <c r="I76"/>
  <c r="M75"/>
  <c r="N75"/>
  <c r="O75"/>
  <c r="L76"/>
  <c r="J76"/>
  <c r="I77"/>
  <c r="M76"/>
  <c r="N76"/>
  <c r="O76"/>
  <c r="L77"/>
  <c r="J77"/>
  <c r="I78"/>
  <c r="M77"/>
  <c r="N77"/>
  <c r="O77"/>
  <c r="L78"/>
  <c r="I79"/>
  <c r="J78"/>
  <c r="M78"/>
  <c r="N78"/>
  <c r="O78"/>
  <c r="L79"/>
  <c r="J79"/>
  <c r="I80"/>
  <c r="M79"/>
  <c r="N79"/>
  <c r="O79"/>
  <c r="L80"/>
  <c r="I81"/>
  <c r="J80"/>
  <c r="M80"/>
  <c r="N80"/>
  <c r="O80"/>
  <c r="L81"/>
  <c r="J81"/>
  <c r="I82"/>
  <c r="M81"/>
  <c r="N81"/>
  <c r="O81"/>
  <c r="L82"/>
  <c r="I83"/>
  <c r="J82"/>
  <c r="M82"/>
  <c r="N82"/>
  <c r="O82"/>
  <c r="L83"/>
  <c r="J83"/>
  <c r="I84"/>
  <c r="M83"/>
  <c r="N83"/>
  <c r="O83"/>
  <c r="L84"/>
  <c r="I85"/>
  <c r="J84"/>
  <c r="M84"/>
  <c r="N84"/>
  <c r="O84"/>
  <c r="L85"/>
  <c r="J85"/>
  <c r="I86"/>
  <c r="M85"/>
  <c r="N85"/>
  <c r="O85"/>
  <c r="L86"/>
  <c r="I87"/>
  <c r="J86"/>
  <c r="M86"/>
  <c r="N86"/>
  <c r="O86"/>
  <c r="L87"/>
  <c r="J87"/>
  <c r="I88"/>
  <c r="M87"/>
  <c r="N87"/>
  <c r="O87"/>
  <c r="L88"/>
  <c r="I89"/>
  <c r="J88"/>
  <c r="M88"/>
  <c r="N88"/>
  <c r="O88"/>
  <c r="L89"/>
  <c r="J89"/>
  <c r="I90"/>
  <c r="M89"/>
  <c r="N89"/>
  <c r="O89"/>
  <c r="L90"/>
  <c r="I91"/>
  <c r="J90"/>
  <c r="M90"/>
  <c r="N90"/>
  <c r="O90"/>
  <c r="L91"/>
  <c r="J91"/>
  <c r="I92"/>
  <c r="M91"/>
  <c r="N91"/>
  <c r="O91"/>
  <c r="L92"/>
  <c r="I93"/>
  <c r="J92"/>
  <c r="M92"/>
  <c r="N92"/>
  <c r="O92"/>
  <c r="L93"/>
  <c r="J93"/>
  <c r="I94"/>
  <c r="M93"/>
  <c r="N93"/>
  <c r="O93"/>
  <c r="L94"/>
  <c r="I95"/>
  <c r="J94"/>
  <c r="M94"/>
  <c r="N94"/>
  <c r="O94"/>
  <c r="L95"/>
  <c r="J95"/>
  <c r="I96"/>
  <c r="M95"/>
  <c r="N95"/>
  <c r="O95"/>
  <c r="L96"/>
  <c r="I97"/>
  <c r="J96"/>
  <c r="M96"/>
  <c r="N96"/>
  <c r="O96"/>
  <c r="L97"/>
  <c r="J97"/>
  <c r="I98"/>
  <c r="M97"/>
  <c r="N97"/>
  <c r="O97"/>
  <c r="L98"/>
  <c r="I99"/>
  <c r="J98"/>
  <c r="M98"/>
  <c r="N98"/>
  <c r="O98"/>
  <c r="L99"/>
  <c r="J99"/>
  <c r="I100"/>
  <c r="M99"/>
  <c r="N99"/>
  <c r="O99"/>
  <c r="L100"/>
  <c r="I101"/>
  <c r="J100"/>
  <c r="M100"/>
  <c r="N100"/>
  <c r="O100"/>
  <c r="L101"/>
  <c r="J101"/>
  <c r="I102"/>
  <c r="M101"/>
  <c r="N101"/>
  <c r="O101"/>
  <c r="L102"/>
  <c r="I103"/>
  <c r="J102"/>
  <c r="M102"/>
  <c r="N102"/>
  <c r="O102"/>
  <c r="L103"/>
  <c r="J103"/>
  <c r="I104"/>
  <c r="M103"/>
  <c r="N103"/>
  <c r="O103"/>
  <c r="L104"/>
  <c r="I105"/>
  <c r="J104"/>
  <c r="M104"/>
  <c r="N104"/>
  <c r="O104"/>
  <c r="L105"/>
  <c r="J105"/>
  <c r="I106"/>
  <c r="M105"/>
  <c r="N105"/>
  <c r="O105"/>
  <c r="L106"/>
  <c r="I107"/>
  <c r="J106"/>
  <c r="M106"/>
  <c r="N106"/>
  <c r="O106"/>
  <c r="L107"/>
  <c r="J107"/>
  <c r="I108"/>
  <c r="M107"/>
  <c r="N107"/>
  <c r="O107"/>
  <c r="L108"/>
  <c r="I109"/>
  <c r="J108"/>
  <c r="M108"/>
  <c r="N108"/>
  <c r="O108"/>
  <c r="L109"/>
  <c r="J109"/>
  <c r="I110"/>
  <c r="M109"/>
  <c r="N109"/>
  <c r="O109"/>
  <c r="L110"/>
  <c r="I111"/>
  <c r="J110"/>
  <c r="M110"/>
  <c r="N110"/>
  <c r="O110"/>
  <c r="L111"/>
  <c r="J111"/>
  <c r="I112"/>
  <c r="M111"/>
  <c r="N111"/>
  <c r="O111"/>
  <c r="L112"/>
  <c r="I113"/>
  <c r="J112"/>
  <c r="M112"/>
  <c r="N112"/>
  <c r="O112"/>
  <c r="L113"/>
  <c r="J113"/>
  <c r="I114"/>
  <c r="M113"/>
  <c r="N113"/>
  <c r="O113"/>
  <c r="L114"/>
  <c r="I115"/>
  <c r="J114"/>
  <c r="M114"/>
  <c r="N114"/>
  <c r="O114"/>
  <c r="L115"/>
  <c r="J115"/>
  <c r="I116"/>
  <c r="M115"/>
  <c r="N115"/>
  <c r="O115"/>
  <c r="L116"/>
  <c r="I117"/>
  <c r="J116"/>
  <c r="M116"/>
  <c r="N116"/>
  <c r="O116"/>
  <c r="L117"/>
  <c r="J117"/>
  <c r="I118"/>
  <c r="M117"/>
  <c r="N117"/>
  <c r="O117"/>
  <c r="L118"/>
  <c r="I119"/>
  <c r="J118"/>
  <c r="M118"/>
  <c r="N118"/>
  <c r="O118"/>
  <c r="L119"/>
  <c r="J119"/>
  <c r="I120"/>
  <c r="M119"/>
  <c r="N119"/>
  <c r="O119"/>
  <c r="L120"/>
  <c r="I121"/>
  <c r="J120"/>
  <c r="M120"/>
  <c r="N120"/>
  <c r="O120"/>
  <c r="L121"/>
  <c r="J121"/>
  <c r="I122"/>
  <c r="M121"/>
  <c r="N121"/>
  <c r="O121"/>
  <c r="L122"/>
  <c r="I123"/>
  <c r="J122"/>
  <c r="M122"/>
  <c r="N122"/>
  <c r="O122"/>
  <c r="L123"/>
  <c r="J123"/>
  <c r="I124"/>
  <c r="M123"/>
  <c r="N123"/>
  <c r="O123"/>
  <c r="L124"/>
  <c r="I125"/>
  <c r="J124"/>
  <c r="M124"/>
  <c r="N124"/>
  <c r="O124"/>
  <c r="L125"/>
  <c r="J125"/>
  <c r="I126"/>
  <c r="M125"/>
  <c r="N125"/>
  <c r="O125"/>
  <c r="L126"/>
  <c r="I127"/>
  <c r="J126"/>
  <c r="M126"/>
  <c r="N126"/>
  <c r="O126"/>
  <c r="L127"/>
  <c r="J127"/>
  <c r="I128"/>
  <c r="M127"/>
  <c r="N127"/>
  <c r="O127"/>
  <c r="L128"/>
  <c r="I129"/>
  <c r="J128"/>
  <c r="M128"/>
  <c r="N128"/>
  <c r="O128"/>
  <c r="L129"/>
  <c r="J129"/>
  <c r="I130"/>
  <c r="M129"/>
  <c r="N129"/>
  <c r="O129"/>
  <c r="L130"/>
  <c r="I131"/>
  <c r="J130"/>
  <c r="M130"/>
  <c r="N130"/>
  <c r="O130"/>
  <c r="L131"/>
  <c r="J131"/>
  <c r="I132"/>
  <c r="M131"/>
  <c r="N131"/>
  <c r="O131"/>
  <c r="L132"/>
  <c r="I133"/>
  <c r="J132"/>
  <c r="M132"/>
  <c r="N132"/>
  <c r="O132"/>
  <c r="L133"/>
  <c r="J133"/>
  <c r="I134"/>
  <c r="M133"/>
  <c r="N133"/>
  <c r="O133"/>
  <c r="L134"/>
  <c r="I135"/>
  <c r="J134"/>
  <c r="M134"/>
  <c r="N134"/>
  <c r="O134"/>
  <c r="L135"/>
  <c r="J135"/>
  <c r="I136"/>
  <c r="M135"/>
  <c r="N135"/>
  <c r="O135"/>
  <c r="L136"/>
  <c r="I137"/>
  <c r="J136"/>
  <c r="M136"/>
  <c r="N136"/>
  <c r="O136"/>
  <c r="L137"/>
  <c r="J137"/>
  <c r="I138"/>
  <c r="M137"/>
  <c r="N137"/>
  <c r="O137"/>
  <c r="L138"/>
  <c r="I139"/>
  <c r="J138"/>
  <c r="L139"/>
  <c r="M138"/>
  <c r="N138"/>
  <c r="O138"/>
  <c r="I140"/>
  <c r="J140"/>
  <c r="J139"/>
  <c r="L140"/>
  <c r="M140"/>
  <c r="N140"/>
  <c r="O140"/>
  <c r="P2"/>
  <c r="M139"/>
  <c r="N139"/>
  <c r="O139"/>
</calcChain>
</file>

<file path=xl/sharedStrings.xml><?xml version="1.0" encoding="utf-8"?>
<sst xmlns="http://schemas.openxmlformats.org/spreadsheetml/2006/main" count="910" uniqueCount="500">
  <si>
    <t>'data'</t>
  </si>
  <si>
    <t>'21.11.1990'</t>
  </si>
  <si>
    <t>'28.11.1990'</t>
  </si>
  <si>
    <t>'05.12.1990'</t>
  </si>
  <si>
    <t>'12.12.1990'</t>
  </si>
  <si>
    <t>'19.12.1990'</t>
  </si>
  <si>
    <t>'26.12.1990'</t>
  </si>
  <si>
    <t>'02.01.1991'</t>
  </si>
  <si>
    <t>'09.01.1991'</t>
  </si>
  <si>
    <t>'16.01.1991'</t>
  </si>
  <si>
    <t>'23.01.1991'</t>
  </si>
  <si>
    <t>'30.01.1991'</t>
  </si>
  <si>
    <t>'06.02.1991'</t>
  </si>
  <si>
    <t>'13.02.1991'</t>
  </si>
  <si>
    <t>'20.02.1991'</t>
  </si>
  <si>
    <t>'27.02.1991'</t>
  </si>
  <si>
    <t>'06.03.1991'</t>
  </si>
  <si>
    <t>'13.03.1991'</t>
  </si>
  <si>
    <t>'20.03.1991'</t>
  </si>
  <si>
    <t>'27.03.1991'</t>
  </si>
  <si>
    <t>'03.04.1991'</t>
  </si>
  <si>
    <t>'10.04.1991'</t>
  </si>
  <si>
    <t>'17.04.1991'</t>
  </si>
  <si>
    <t>'24.04.1991'</t>
  </si>
  <si>
    <t>'01.05.1991'</t>
  </si>
  <si>
    <t>'08.05.1991'</t>
  </si>
  <si>
    <t>'15.05.1991'</t>
  </si>
  <si>
    <t>'22.05.1991'</t>
  </si>
  <si>
    <t>'29.05.1991'</t>
  </si>
  <si>
    <t>'05.06.1991'</t>
  </si>
  <si>
    <t>'12.06.1991'</t>
  </si>
  <si>
    <t>'19.06.1991'</t>
  </si>
  <si>
    <t>'26.06.1991'</t>
  </si>
  <si>
    <t>'03.07.1991'</t>
  </si>
  <si>
    <t>'10.07.1991'</t>
  </si>
  <si>
    <t>'17.07.1991'</t>
  </si>
  <si>
    <t>'24.07.1991'</t>
  </si>
  <si>
    <t>'31.07.1991'</t>
  </si>
  <si>
    <t>'07.08.1991'</t>
  </si>
  <si>
    <t>'14.08.1991'</t>
  </si>
  <si>
    <t>'21.08.1991'</t>
  </si>
  <si>
    <t>'28.08.1991'</t>
  </si>
  <si>
    <t>'04.09.1991'</t>
  </si>
  <si>
    <t>'11.09.1991'</t>
  </si>
  <si>
    <t>'18.09.1991'</t>
  </si>
  <si>
    <t>'25.09.1991'</t>
  </si>
  <si>
    <t>'02.10.1991'</t>
  </si>
  <si>
    <t>'09.10.1991'</t>
  </si>
  <si>
    <t>'16.10.1991'</t>
  </si>
  <si>
    <t>'23.10.1991'</t>
  </si>
  <si>
    <t>'30.10.1991'</t>
  </si>
  <si>
    <t>'06.11.1991'</t>
  </si>
  <si>
    <t>'13.11.1991'</t>
  </si>
  <si>
    <t>'20.11.1991'</t>
  </si>
  <si>
    <t>'27.11.1991'</t>
  </si>
  <si>
    <t>'04.12.1991'</t>
  </si>
  <si>
    <t>'11.12.1991'</t>
  </si>
  <si>
    <t>'18.12.1991'</t>
  </si>
  <si>
    <t>'25.12.1991'</t>
  </si>
  <si>
    <t>'01.01.1992'</t>
  </si>
  <si>
    <t>'08.01.1992'</t>
  </si>
  <si>
    <t>'15.01.1992'</t>
  </si>
  <si>
    <t>'22.01.1992'</t>
  </si>
  <si>
    <t>'29.01.1992'</t>
  </si>
  <si>
    <t>'05.02.1992'</t>
  </si>
  <si>
    <t>'12.02.1992'</t>
  </si>
  <si>
    <t>'19.02.1992'</t>
  </si>
  <si>
    <t>'26.02.1992'</t>
  </si>
  <si>
    <t>'04.03.1992'</t>
  </si>
  <si>
    <t>'11.03.1992'</t>
  </si>
  <si>
    <t>'18.03.1992'</t>
  </si>
  <si>
    <t>'25.03.1992'</t>
  </si>
  <si>
    <t>'01.04.1992'</t>
  </si>
  <si>
    <t>'08.04.1992'</t>
  </si>
  <si>
    <t>'15.04.1992'</t>
  </si>
  <si>
    <t>'22.04.1992'</t>
  </si>
  <si>
    <t>'29.04.1992'</t>
  </si>
  <si>
    <t>'06.05.1992'</t>
  </si>
  <si>
    <t>'13.05.1992'</t>
  </si>
  <si>
    <t>'20.05.1992'</t>
  </si>
  <si>
    <t>'27.05.1992'</t>
  </si>
  <si>
    <t>'03.06.1992'</t>
  </si>
  <si>
    <t>'10.06.1992'</t>
  </si>
  <si>
    <t>'17.06.1992'</t>
  </si>
  <si>
    <t>'24.06.1992'</t>
  </si>
  <si>
    <t>'01.07.1992'</t>
  </si>
  <si>
    <t>'08.07.1992'</t>
  </si>
  <si>
    <t>'15.07.1992'</t>
  </si>
  <si>
    <t>'22.07.1992'</t>
  </si>
  <si>
    <t>'29.07.1992'</t>
  </si>
  <si>
    <t>'05.08.1992'</t>
  </si>
  <si>
    <t>'12.08.1992'</t>
  </si>
  <si>
    <t>'19.08.1992'</t>
  </si>
  <si>
    <t>'26.08.1992'</t>
  </si>
  <si>
    <t>'02.09.1992'</t>
  </si>
  <si>
    <t>'09.09.1992'</t>
  </si>
  <si>
    <t>'16.09.1992'</t>
  </si>
  <si>
    <t>'23.09.1992'</t>
  </si>
  <si>
    <t>'30.09.1992'</t>
  </si>
  <si>
    <t>'07.10.1992'</t>
  </si>
  <si>
    <t>'14.10.1992'</t>
  </si>
  <si>
    <t>'21.10.1992'</t>
  </si>
  <si>
    <t>'28.10.1992'</t>
  </si>
  <si>
    <t>'04.11.1992'</t>
  </si>
  <si>
    <t>'11.11.1992'</t>
  </si>
  <si>
    <t>'18.11.1992'</t>
  </si>
  <si>
    <t>'25.11.1992'</t>
  </si>
  <si>
    <t>'02.12.1992'</t>
  </si>
  <si>
    <t>'09.12.1992'</t>
  </si>
  <si>
    <t>'16.12.1992'</t>
  </si>
  <si>
    <t>'23.12.1992'</t>
  </si>
  <si>
    <t>'30.12.1992'</t>
  </si>
  <si>
    <t>'06.01.1993'</t>
  </si>
  <si>
    <t>'13.01.1993'</t>
  </si>
  <si>
    <t>'20.01.1993'</t>
  </si>
  <si>
    <t>'27.01.1993'</t>
  </si>
  <si>
    <t>'03.02.1993'</t>
  </si>
  <si>
    <t>'10.02.1993'</t>
  </si>
  <si>
    <t>'17.02.1993'</t>
  </si>
  <si>
    <t>'24.02.1993'</t>
  </si>
  <si>
    <t>'03.03.1993'</t>
  </si>
  <si>
    <t>'10.03.1993'</t>
  </si>
  <si>
    <t>'17.03.1993'</t>
  </si>
  <si>
    <t>'24.03.1993'</t>
  </si>
  <si>
    <t>'31.03.1993'</t>
  </si>
  <si>
    <t>'07.04.1993'</t>
  </si>
  <si>
    <t>'14.04.1993'</t>
  </si>
  <si>
    <t>'21.04.1993'</t>
  </si>
  <si>
    <t>'28.04.1993'</t>
  </si>
  <si>
    <t>'05.05.1993'</t>
  </si>
  <si>
    <t>'12.05.1993'</t>
  </si>
  <si>
    <t>'19.05.1993'</t>
  </si>
  <si>
    <t>'26.05.1993'</t>
  </si>
  <si>
    <t>'02.06.1993'</t>
  </si>
  <si>
    <t>'09.06.1993'</t>
  </si>
  <si>
    <t>'16.06.1993'</t>
  </si>
  <si>
    <t>'23.06.1993'</t>
  </si>
  <si>
    <t>'30.06.1993'</t>
  </si>
  <si>
    <t>'07.07.1993'</t>
  </si>
  <si>
    <t>'14.07.1993'</t>
  </si>
  <si>
    <t>'21.07.1993'</t>
  </si>
  <si>
    <t>'28.07.1993'</t>
  </si>
  <si>
    <t>'04.08.1993'</t>
  </si>
  <si>
    <t>'11.08.1993'</t>
  </si>
  <si>
    <t>'18.08.1993'</t>
  </si>
  <si>
    <t>'25.08.1993'</t>
  </si>
  <si>
    <t>'01.09.1993'</t>
  </si>
  <si>
    <t>'08.09.1993'</t>
  </si>
  <si>
    <t>'15.09.1993'</t>
  </si>
  <si>
    <t>'22.09.1993'</t>
  </si>
  <si>
    <t>'29.09.1993'</t>
  </si>
  <si>
    <t>'06.10.1993'</t>
  </si>
  <si>
    <t>'13.10.1993'</t>
  </si>
  <si>
    <t>'20.10.1993'</t>
  </si>
  <si>
    <t>'27.10.1993'</t>
  </si>
  <si>
    <t>'03.11.1993'</t>
  </si>
  <si>
    <t>'10.11.1993'</t>
  </si>
  <si>
    <t>'17.11.1993'</t>
  </si>
  <si>
    <t>'24.11.1993'</t>
  </si>
  <si>
    <t>'01.12.1993'</t>
  </si>
  <si>
    <t>'08.12.1993'</t>
  </si>
  <si>
    <t>'15.12.1993'</t>
  </si>
  <si>
    <t>'22.12.1993'</t>
  </si>
  <si>
    <t>'29.12.1993'</t>
  </si>
  <si>
    <t>'05.01.1994'</t>
  </si>
  <si>
    <t>'12.01.1994'</t>
  </si>
  <si>
    <t>'19.01.1994'</t>
  </si>
  <si>
    <t>'26.01.1994'</t>
  </si>
  <si>
    <t>'02.02.1994'</t>
  </si>
  <si>
    <t>'09.02.1994'</t>
  </si>
  <si>
    <t>'16.02.1994'</t>
  </si>
  <si>
    <t>'23.02.1994'</t>
  </si>
  <si>
    <t>'02.03.1994'</t>
  </si>
  <si>
    <t>'09.03.1994'</t>
  </si>
  <si>
    <t>'16.03.1994'</t>
  </si>
  <si>
    <t>'23.03.1994'</t>
  </si>
  <si>
    <t>'30.03.1994'</t>
  </si>
  <si>
    <t>'06.04.1994'</t>
  </si>
  <si>
    <t>'13.04.1994'</t>
  </si>
  <si>
    <t>'20.04.1994'</t>
  </si>
  <si>
    <t>'27.04.1994'</t>
  </si>
  <si>
    <t>'04.05.1994'</t>
  </si>
  <si>
    <t>'11.05.1994'</t>
  </si>
  <si>
    <t>'18.05.1994'</t>
  </si>
  <si>
    <t>'25.05.1994'</t>
  </si>
  <si>
    <t>'01.06.1994'</t>
  </si>
  <si>
    <t>'08.06.1994'</t>
  </si>
  <si>
    <t>'15.06.1994'</t>
  </si>
  <si>
    <t>'22.06.1994'</t>
  </si>
  <si>
    <t>'29.06.1994'</t>
  </si>
  <si>
    <t>'06.07.1994'</t>
  </si>
  <si>
    <t>'13.07.1994'</t>
  </si>
  <si>
    <t>'20.07.1994'</t>
  </si>
  <si>
    <t>'27.07.1994'</t>
  </si>
  <si>
    <t>'03.08.1994'</t>
  </si>
  <si>
    <t>'10.08.1994'</t>
  </si>
  <si>
    <t>'17.08.1994'</t>
  </si>
  <si>
    <t>'24.08.1994'</t>
  </si>
  <si>
    <t>'31.08.1994'</t>
  </si>
  <si>
    <t>'07.09.1994'</t>
  </si>
  <si>
    <t>'14.09.1994'</t>
  </si>
  <si>
    <t>'21.09.1994'</t>
  </si>
  <si>
    <t>'28.09.1994'</t>
  </si>
  <si>
    <t>'05.10.1994'</t>
  </si>
  <si>
    <t>'12.10.1994'</t>
  </si>
  <si>
    <t>'19.10.1994'</t>
  </si>
  <si>
    <t>'26.10.1994'</t>
  </si>
  <si>
    <t>'02.11.1994'</t>
  </si>
  <si>
    <t>'09.11.1994'</t>
  </si>
  <si>
    <t>'16.11.1994'</t>
  </si>
  <si>
    <t>'23.11.1994'</t>
  </si>
  <si>
    <t>'30.11.1994'</t>
  </si>
  <si>
    <t>'07.12.1994'</t>
  </si>
  <si>
    <t>'14.12.1994'</t>
  </si>
  <si>
    <t>'21.12.1994'</t>
  </si>
  <si>
    <t>'28.12.1994'</t>
  </si>
  <si>
    <t>'04.01.1995'</t>
  </si>
  <si>
    <t>'11.01.1995'</t>
  </si>
  <si>
    <t>'18.01.1995'</t>
  </si>
  <si>
    <t>'25.01.1995'</t>
  </si>
  <si>
    <t>'01.02.1995'</t>
  </si>
  <si>
    <t>'08.02.1995'</t>
  </si>
  <si>
    <t>'15.02.1995'</t>
  </si>
  <si>
    <t>'22.02.1995'</t>
  </si>
  <si>
    <t>'01.03.1995'</t>
  </si>
  <si>
    <t>'08.03.1995'</t>
  </si>
  <si>
    <t>'15.03.1995'</t>
  </si>
  <si>
    <t>'22.03.1995'</t>
  </si>
  <si>
    <t>'29.03.1995'</t>
  </si>
  <si>
    <t>'05.04.1995'</t>
  </si>
  <si>
    <t>'12.04.1995'</t>
  </si>
  <si>
    <t>'19.04.1995'</t>
  </si>
  <si>
    <t>'26.04.1995'</t>
  </si>
  <si>
    <t>'03.05.1995'</t>
  </si>
  <si>
    <t>'10.05.1995'</t>
  </si>
  <si>
    <t>'17.05.1995'</t>
  </si>
  <si>
    <t>'24.05.1995'</t>
  </si>
  <si>
    <t>'31.05.1995'</t>
  </si>
  <si>
    <t>'07.06.1995'</t>
  </si>
  <si>
    <t>'14.06.1995'</t>
  </si>
  <si>
    <t>'21.06.1995'</t>
  </si>
  <si>
    <t>'28.06.1995'</t>
  </si>
  <si>
    <t>'05.07.1995'</t>
  </si>
  <si>
    <t>'12.07.1995'</t>
  </si>
  <si>
    <t>'19.07.1995'</t>
  </si>
  <si>
    <t>'26.07.1995'</t>
  </si>
  <si>
    <t>'02.08.1995'</t>
  </si>
  <si>
    <t>'09.08.1995'</t>
  </si>
  <si>
    <t>'16.08.1995'</t>
  </si>
  <si>
    <t>'23.08.1995'</t>
  </si>
  <si>
    <t>'30.08.1995'</t>
  </si>
  <si>
    <t>'06.09.1995'</t>
  </si>
  <si>
    <t>'13.09.1995'</t>
  </si>
  <si>
    <t>'20.09.1995'</t>
  </si>
  <si>
    <t>'27.09.1995'</t>
  </si>
  <si>
    <t>'04.10.1995'</t>
  </si>
  <si>
    <t>'11.10.1995'</t>
  </si>
  <si>
    <t>'18.10.1995'</t>
  </si>
  <si>
    <t>'25.10.1995'</t>
  </si>
  <si>
    <t>'01.11.1995'</t>
  </si>
  <si>
    <t>'08.11.1995'</t>
  </si>
  <si>
    <t>'15.11.1995'</t>
  </si>
  <si>
    <t>'22.11.1995'</t>
  </si>
  <si>
    <t>'29.11.1995'</t>
  </si>
  <si>
    <t>'06.12.1995'</t>
  </si>
  <si>
    <t>'13.12.1995'</t>
  </si>
  <si>
    <t>'20.12.1995'</t>
  </si>
  <si>
    <t>'27.12.1995'</t>
  </si>
  <si>
    <t>'03.01.1996'</t>
  </si>
  <si>
    <t>'10.01.1996'</t>
  </si>
  <si>
    <t>'17.01.1996'</t>
  </si>
  <si>
    <t>'24.01.1996'</t>
  </si>
  <si>
    <t>'31.01.1996'</t>
  </si>
  <si>
    <t>'07.02.1996'</t>
  </si>
  <si>
    <t>'14.02.1996'</t>
  </si>
  <si>
    <t>'21.02.1996'</t>
  </si>
  <si>
    <t>'28.02.1996'</t>
  </si>
  <si>
    <t>'06.03.1996'</t>
  </si>
  <si>
    <t>'13.03.1996'</t>
  </si>
  <si>
    <t>'20.03.1996'</t>
  </si>
  <si>
    <t>'27.03.1996'</t>
  </si>
  <si>
    <t>'03.04.1996'</t>
  </si>
  <si>
    <t>'10.04.1996'</t>
  </si>
  <si>
    <t>'17.04.1996'</t>
  </si>
  <si>
    <t>'24.04.1996'</t>
  </si>
  <si>
    <t>'01.05.1996'</t>
  </si>
  <si>
    <t>'08.05.1996'</t>
  </si>
  <si>
    <t>'15.05.1996'</t>
  </si>
  <si>
    <t>'22.05.1996'</t>
  </si>
  <si>
    <t>'29.05.1996'</t>
  </si>
  <si>
    <t>'05.06.1996'</t>
  </si>
  <si>
    <t>'12.06.1996'</t>
  </si>
  <si>
    <t>'19.06.1996'</t>
  </si>
  <si>
    <t>'26.06.1996'</t>
  </si>
  <si>
    <t>'03.07.1996'</t>
  </si>
  <si>
    <t>'10.07.1996'</t>
  </si>
  <si>
    <t>'17.07.1996'</t>
  </si>
  <si>
    <t>'24.07.1996'</t>
  </si>
  <si>
    <t>'31.07.1996'</t>
  </si>
  <si>
    <t>'07.08.1996'</t>
  </si>
  <si>
    <t>'14.08.1996'</t>
  </si>
  <si>
    <t>'21.08.1996'</t>
  </si>
  <si>
    <t>'28.08.1996'</t>
  </si>
  <si>
    <t>'04.09.1996'</t>
  </si>
  <si>
    <t>'11.09.1996'</t>
  </si>
  <si>
    <t>'18.09.1996'</t>
  </si>
  <si>
    <t>'25.09.1996'</t>
  </si>
  <si>
    <t>'02.10.1996'</t>
  </si>
  <si>
    <t>'09.10.1996'</t>
  </si>
  <si>
    <t>'16.10.1996'</t>
  </si>
  <si>
    <t>'23.10.1996'</t>
  </si>
  <si>
    <t>'30.10.1996'</t>
  </si>
  <si>
    <t>'06.11.1996'</t>
  </si>
  <si>
    <t>'13.11.1996'</t>
  </si>
  <si>
    <t>'20.11.1996'</t>
  </si>
  <si>
    <t>'27.11.1996'</t>
  </si>
  <si>
    <t>'04.12.1996'</t>
  </si>
  <si>
    <t>'11.12.1996'</t>
  </si>
  <si>
    <t>'18.12.1996'</t>
  </si>
  <si>
    <t>'25.12.1996'</t>
  </si>
  <si>
    <t>'01.01.1997'</t>
  </si>
  <si>
    <t>'08.01.1997'</t>
  </si>
  <si>
    <t>'15.01.1997'</t>
  </si>
  <si>
    <t>'22.01.1997'</t>
  </si>
  <si>
    <t>'29.01.1997'</t>
  </si>
  <si>
    <t>'05.02.1997'</t>
  </si>
  <si>
    <t>'12.02.1997'</t>
  </si>
  <si>
    <t>'19.02.1997'</t>
  </si>
  <si>
    <t>'26.02.1997'</t>
  </si>
  <si>
    <t>'05.03.1997'</t>
  </si>
  <si>
    <t>'12.03.1997'</t>
  </si>
  <si>
    <t>'19.03.1997'</t>
  </si>
  <si>
    <t>'26.03.1997'</t>
  </si>
  <si>
    <t>'02.04.1997'</t>
  </si>
  <si>
    <t>'09.04.1997'</t>
  </si>
  <si>
    <t>'16.04.1997'</t>
  </si>
  <si>
    <t>'23.04.1997'</t>
  </si>
  <si>
    <t>'30.04.1997'</t>
  </si>
  <si>
    <t>'07.05.1997'</t>
  </si>
  <si>
    <t>'14.05.1997'</t>
  </si>
  <si>
    <t>'21.05.1997'</t>
  </si>
  <si>
    <t>'28.05.1997'</t>
  </si>
  <si>
    <t>'04.06.1997'</t>
  </si>
  <si>
    <t>'11.06.1997'</t>
  </si>
  <si>
    <t>'18.06.1997'</t>
  </si>
  <si>
    <t>'25.06.1997'</t>
  </si>
  <si>
    <t>'02.07.1997'</t>
  </si>
  <si>
    <t>'09.07.1997'</t>
  </si>
  <si>
    <t>'16.07.1997'</t>
  </si>
  <si>
    <t>'23.07.1997'</t>
  </si>
  <si>
    <t>'30.07.1997'</t>
  </si>
  <si>
    <t>'06.08.1997'</t>
  </si>
  <si>
    <t>'13.08.1997'</t>
  </si>
  <si>
    <t>'20.08.1997'</t>
  </si>
  <si>
    <t>'27.08.1997'</t>
  </si>
  <si>
    <t>'03.09.1997'</t>
  </si>
  <si>
    <t>'10.09.1997'</t>
  </si>
  <si>
    <t>'17.09.1997'</t>
  </si>
  <si>
    <t>'24.09.1997'</t>
  </si>
  <si>
    <t>'01.10.1997'</t>
  </si>
  <si>
    <t>'08.10.1997'</t>
  </si>
  <si>
    <t>'15.10.1997'</t>
  </si>
  <si>
    <t>'22.10.1997'</t>
  </si>
  <si>
    <t>'29.10.1997'</t>
  </si>
  <si>
    <t>'05.11.1997'</t>
  </si>
  <si>
    <t>'12.11.1997'</t>
  </si>
  <si>
    <t>'19.11.1997'</t>
  </si>
  <si>
    <t>'26.11.1997'</t>
  </si>
  <si>
    <t>'03.12.1997'</t>
  </si>
  <si>
    <t>'10.12.1997'</t>
  </si>
  <si>
    <t>'17.12.1997'</t>
  </si>
  <si>
    <t>'24.12.1997'</t>
  </si>
  <si>
    <t>'31.12.1997'</t>
  </si>
  <si>
    <t>'07.01.1998'</t>
  </si>
  <si>
    <t>'14.01.1998'</t>
  </si>
  <si>
    <t>'21.01.1998'</t>
  </si>
  <si>
    <t>'28.01.1998'</t>
  </si>
  <si>
    <t>'04.02.1998'</t>
  </si>
  <si>
    <t>'11.02.1998'</t>
  </si>
  <si>
    <t>'18.02.1998'</t>
  </si>
  <si>
    <t>'25.02.1998'</t>
  </si>
  <si>
    <t>'04.03.1998'</t>
  </si>
  <si>
    <t>'11.03.1998'</t>
  </si>
  <si>
    <t>'18.03.1998'</t>
  </si>
  <si>
    <t>'25.03.1998'</t>
  </si>
  <si>
    <t>'01.04.1998'</t>
  </si>
  <si>
    <t>'08.04.1998'</t>
  </si>
  <si>
    <t>'15.04.1998'</t>
  </si>
  <si>
    <t>'22.04.1998'</t>
  </si>
  <si>
    <t>'29.04.1998'</t>
  </si>
  <si>
    <t>'06.05.1998'</t>
  </si>
  <si>
    <t>'13.05.1998'</t>
  </si>
  <si>
    <t>'20.05.1998'</t>
  </si>
  <si>
    <t>'27.05.1998'</t>
  </si>
  <si>
    <t>'03.06.1998'</t>
  </si>
  <si>
    <t>'10.06.1998'</t>
  </si>
  <si>
    <t>'17.06.1998'</t>
  </si>
  <si>
    <t>'24.06.1998'</t>
  </si>
  <si>
    <t>'01.07.1998'</t>
  </si>
  <si>
    <t>'08.07.1998'</t>
  </si>
  <si>
    <t>'15.07.1998'</t>
  </si>
  <si>
    <t>'22.07.1998'</t>
  </si>
  <si>
    <t>'29.07.1998'</t>
  </si>
  <si>
    <t>'05.08.1998'</t>
  </si>
  <si>
    <t>'12.08.1998'</t>
  </si>
  <si>
    <t>maturity, years</t>
  </si>
  <si>
    <t>data</t>
  </si>
  <si>
    <t>sigma</t>
  </si>
  <si>
    <t>sigma*e</t>
  </si>
  <si>
    <t>r0</t>
  </si>
  <si>
    <t>k</t>
  </si>
  <si>
    <t>model</t>
  </si>
  <si>
    <t>er</t>
  </si>
  <si>
    <t>er^2</t>
  </si>
  <si>
    <t>12/26/1995</t>
  </si>
  <si>
    <t xml:space="preserve"> </t>
  </si>
  <si>
    <t>1/16/1996</t>
  </si>
  <si>
    <t>1/23/1996</t>
  </si>
  <si>
    <t>1/30/1996</t>
  </si>
  <si>
    <t>2/13/1996</t>
  </si>
  <si>
    <t>2/20/1996</t>
  </si>
  <si>
    <t>2/27/1996</t>
  </si>
  <si>
    <t>3/19/1996</t>
  </si>
  <si>
    <t>3/26/1996</t>
  </si>
  <si>
    <t>4/16/1996</t>
  </si>
  <si>
    <t>4/23/1996</t>
  </si>
  <si>
    <t>4/30/1996</t>
  </si>
  <si>
    <t>5/14/1996</t>
  </si>
  <si>
    <t>5/21/1996</t>
  </si>
  <si>
    <t>5/28/1996</t>
  </si>
  <si>
    <t>6/18/1996</t>
  </si>
  <si>
    <t>6/25/1996</t>
  </si>
  <si>
    <t>7/16/1996</t>
  </si>
  <si>
    <t>7/23/1996</t>
  </si>
  <si>
    <t>7/30/1996</t>
  </si>
  <si>
    <t>8/13/1996</t>
  </si>
  <si>
    <t>8/20/1996</t>
  </si>
  <si>
    <t>8/27/1996</t>
  </si>
  <si>
    <t>9/17/1996</t>
  </si>
  <si>
    <t>9/24/1996</t>
  </si>
  <si>
    <t>10/15/1996</t>
  </si>
  <si>
    <t>10/22/1996</t>
  </si>
  <si>
    <t>10/29/1996</t>
  </si>
  <si>
    <t>11/19/1996</t>
  </si>
  <si>
    <t>11/26/1996</t>
  </si>
  <si>
    <t>12/17/1996</t>
  </si>
  <si>
    <t>12/24/1996</t>
  </si>
  <si>
    <t>12/31/1996</t>
  </si>
  <si>
    <t>1/14/1997</t>
  </si>
  <si>
    <t>1/21/1997</t>
  </si>
  <si>
    <t>1/28/1997</t>
  </si>
  <si>
    <t>2/18/1997</t>
  </si>
  <si>
    <t>2/25/1997</t>
  </si>
  <si>
    <t>3/18/1997</t>
  </si>
  <si>
    <t>3/25/1997</t>
  </si>
  <si>
    <t>4/15/1997</t>
  </si>
  <si>
    <t>4/22/1997</t>
  </si>
  <si>
    <t>4/29/1997</t>
  </si>
  <si>
    <t>5/13/1997</t>
  </si>
  <si>
    <t>5/20/1997</t>
  </si>
  <si>
    <t>5/27/1997</t>
  </si>
  <si>
    <t>6/17/1997</t>
  </si>
  <si>
    <t>6/24/1997</t>
  </si>
  <si>
    <t>7/15/1997</t>
  </si>
  <si>
    <t>7/22/1997</t>
  </si>
  <si>
    <t>7/29/1997</t>
  </si>
  <si>
    <t>8/19/1997</t>
  </si>
  <si>
    <t>8/26/1997</t>
  </si>
  <si>
    <t>9/16/1997</t>
  </si>
  <si>
    <t>9/23/1997</t>
  </si>
  <si>
    <t>9/30/1997</t>
  </si>
  <si>
    <t>10/14/1997</t>
  </si>
  <si>
    <t>10/21/1997</t>
  </si>
  <si>
    <t>10/28/1997</t>
  </si>
  <si>
    <t>11/18/1997</t>
  </si>
  <si>
    <t>11/25/1997</t>
  </si>
  <si>
    <t>12/16/1997</t>
  </si>
  <si>
    <t>12/23/1997</t>
  </si>
  <si>
    <t>12/30/1997</t>
  </si>
  <si>
    <t>1/13/1998</t>
  </si>
  <si>
    <t>1/20/1998</t>
  </si>
  <si>
    <t>1/27/1998</t>
  </si>
  <si>
    <t>2/17/1998</t>
  </si>
  <si>
    <t>2/24/1998</t>
  </si>
  <si>
    <t>3/17/1998</t>
  </si>
  <si>
    <t>3/24/1998</t>
  </si>
  <si>
    <t>3/31/1998</t>
  </si>
  <si>
    <t>4/14/1998</t>
  </si>
  <si>
    <t>4/21/1998</t>
  </si>
  <si>
    <t>4/28/1998</t>
  </si>
  <si>
    <t>5/19/1998</t>
  </si>
  <si>
    <t>5/26/1998</t>
  </si>
  <si>
    <t>6/16/1998</t>
  </si>
  <si>
    <t>6/23/1998</t>
  </si>
  <si>
    <t>6/30/1998</t>
  </si>
  <si>
    <t>7/14/1998</t>
  </si>
  <si>
    <t>7/21/1998</t>
  </si>
  <si>
    <t>7/28/1998</t>
  </si>
  <si>
    <t>8/18/1998</t>
  </si>
  <si>
    <t>z_t</t>
  </si>
</sst>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sz val="11"/>
      <color theme="1"/>
      <name val="Calibri"/>
      <family val="2"/>
      <charset val="186"/>
      <scheme val="minor"/>
    </font>
    <font>
      <sz val="8"/>
      <name val="Calibri"/>
      <family val="2"/>
      <charset val="18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strRef>
              <c:f>'ITL week 1996.01.01 (2)'!$J$1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strRef>
              <c:f>'ITL week 1996.01.01 (2)'!$B$2:$B$140</c:f>
              <c:strCache>
                <c:ptCount val="139"/>
                <c:pt idx="0">
                  <c:v>12/26/1995</c:v>
                </c:pt>
                <c:pt idx="1">
                  <c:v>01.02.1996</c:v>
                </c:pt>
                <c:pt idx="2">
                  <c:v>01.09.1996</c:v>
                </c:pt>
                <c:pt idx="3">
                  <c:v>1/16/1996</c:v>
                </c:pt>
                <c:pt idx="4">
                  <c:v>1/23/1996</c:v>
                </c:pt>
                <c:pt idx="5">
                  <c:v>1/30/1996</c:v>
                </c:pt>
                <c:pt idx="6">
                  <c:v>02.06.1996</c:v>
                </c:pt>
                <c:pt idx="7">
                  <c:v>2/13/1996</c:v>
                </c:pt>
                <c:pt idx="8">
                  <c:v>2/20/1996</c:v>
                </c:pt>
                <c:pt idx="9">
                  <c:v>2/27/1996</c:v>
                </c:pt>
                <c:pt idx="10">
                  <c:v>03.05.1996</c:v>
                </c:pt>
                <c:pt idx="11">
                  <c:v>03.12.1996</c:v>
                </c:pt>
                <c:pt idx="12">
                  <c:v>3/19/1996</c:v>
                </c:pt>
                <c:pt idx="13">
                  <c:v>3/26/1996</c:v>
                </c:pt>
                <c:pt idx="14">
                  <c:v>04.02.1996</c:v>
                </c:pt>
                <c:pt idx="15">
                  <c:v>04.09.1996</c:v>
                </c:pt>
                <c:pt idx="16">
                  <c:v>4/16/1996</c:v>
                </c:pt>
                <c:pt idx="17">
                  <c:v>4/23/1996</c:v>
                </c:pt>
                <c:pt idx="18">
                  <c:v>4/30/1996</c:v>
                </c:pt>
                <c:pt idx="19">
                  <c:v>05.07.1996</c:v>
                </c:pt>
                <c:pt idx="20">
                  <c:v>5/14/1996</c:v>
                </c:pt>
                <c:pt idx="21">
                  <c:v>5/21/1996</c:v>
                </c:pt>
                <c:pt idx="22">
                  <c:v>5/28/1996</c:v>
                </c:pt>
                <c:pt idx="23">
                  <c:v>06.04.1996</c:v>
                </c:pt>
                <c:pt idx="24">
                  <c:v>06.11.1996</c:v>
                </c:pt>
                <c:pt idx="25">
                  <c:v>6/18/1996</c:v>
                </c:pt>
                <c:pt idx="26">
                  <c:v>6/25/1996</c:v>
                </c:pt>
                <c:pt idx="27">
                  <c:v>07.02.1996</c:v>
                </c:pt>
                <c:pt idx="28">
                  <c:v>07.09.1996</c:v>
                </c:pt>
                <c:pt idx="29">
                  <c:v>7/16/1996</c:v>
                </c:pt>
                <c:pt idx="30">
                  <c:v>7/23/1996</c:v>
                </c:pt>
                <c:pt idx="31">
                  <c:v>7/30/1996</c:v>
                </c:pt>
                <c:pt idx="32">
                  <c:v>08.06.1996</c:v>
                </c:pt>
                <c:pt idx="33">
                  <c:v>8/13/1996</c:v>
                </c:pt>
                <c:pt idx="34">
                  <c:v>8/20/1996</c:v>
                </c:pt>
                <c:pt idx="35">
                  <c:v>8/27/1996</c:v>
                </c:pt>
                <c:pt idx="36">
                  <c:v>09.03.1996</c:v>
                </c:pt>
                <c:pt idx="37">
                  <c:v>09.10.1996</c:v>
                </c:pt>
                <c:pt idx="38">
                  <c:v>9/17/1996</c:v>
                </c:pt>
                <c:pt idx="39">
                  <c:v>9/24/1996</c:v>
                </c:pt>
                <c:pt idx="40">
                  <c:v>10.01.1996</c:v>
                </c:pt>
                <c:pt idx="41">
                  <c:v>10.08.1996</c:v>
                </c:pt>
                <c:pt idx="42">
                  <c:v>10/15/1996</c:v>
                </c:pt>
                <c:pt idx="43">
                  <c:v>10/22/1996</c:v>
                </c:pt>
                <c:pt idx="44">
                  <c:v>10/29/1996</c:v>
                </c:pt>
                <c:pt idx="45">
                  <c:v>11.05.1996</c:v>
                </c:pt>
                <c:pt idx="46">
                  <c:v>11.12.1996</c:v>
                </c:pt>
                <c:pt idx="47">
                  <c:v>11/19/1996</c:v>
                </c:pt>
                <c:pt idx="48">
                  <c:v>11/26/1996</c:v>
                </c:pt>
                <c:pt idx="49">
                  <c:v>12.03.1996</c:v>
                </c:pt>
                <c:pt idx="50">
                  <c:v>12.10.1996</c:v>
                </c:pt>
                <c:pt idx="51">
                  <c:v>12/17/1996</c:v>
                </c:pt>
                <c:pt idx="52">
                  <c:v>12/24/1996</c:v>
                </c:pt>
                <c:pt idx="53">
                  <c:v>12/31/1996</c:v>
                </c:pt>
                <c:pt idx="54">
                  <c:v>01.07.1997</c:v>
                </c:pt>
                <c:pt idx="55">
                  <c:v>1/14/1997</c:v>
                </c:pt>
                <c:pt idx="56">
                  <c:v>1/21/1997</c:v>
                </c:pt>
                <c:pt idx="57">
                  <c:v>1/28/1997</c:v>
                </c:pt>
                <c:pt idx="58">
                  <c:v>02.04.1997</c:v>
                </c:pt>
                <c:pt idx="59">
                  <c:v>02.11.1997</c:v>
                </c:pt>
                <c:pt idx="60">
                  <c:v>2/18/1997</c:v>
                </c:pt>
                <c:pt idx="61">
                  <c:v>2/25/1997</c:v>
                </c:pt>
                <c:pt idx="62">
                  <c:v>03.04.1997</c:v>
                </c:pt>
                <c:pt idx="63">
                  <c:v>03.11.1997</c:v>
                </c:pt>
                <c:pt idx="64">
                  <c:v>3/18/1997</c:v>
                </c:pt>
                <c:pt idx="65">
                  <c:v>3/25/1997</c:v>
                </c:pt>
                <c:pt idx="66">
                  <c:v>04.01.1997</c:v>
                </c:pt>
                <c:pt idx="67">
                  <c:v>04.08.1997</c:v>
                </c:pt>
                <c:pt idx="68">
                  <c:v>4/15/1997</c:v>
                </c:pt>
                <c:pt idx="69">
                  <c:v>4/22/1997</c:v>
                </c:pt>
                <c:pt idx="70">
                  <c:v>4/29/1997</c:v>
                </c:pt>
                <c:pt idx="71">
                  <c:v>05.06.1997</c:v>
                </c:pt>
                <c:pt idx="72">
                  <c:v>5/13/1997</c:v>
                </c:pt>
                <c:pt idx="73">
                  <c:v>5/20/1997</c:v>
                </c:pt>
                <c:pt idx="74">
                  <c:v>5/27/1997</c:v>
                </c:pt>
                <c:pt idx="75">
                  <c:v>06.03.1997</c:v>
                </c:pt>
                <c:pt idx="76">
                  <c:v>06.10.1997</c:v>
                </c:pt>
                <c:pt idx="77">
                  <c:v>6/17/1997</c:v>
                </c:pt>
                <c:pt idx="78">
                  <c:v>6/24/1997</c:v>
                </c:pt>
                <c:pt idx="79">
                  <c:v>07.01.1997</c:v>
                </c:pt>
                <c:pt idx="80">
                  <c:v>07.08.1997</c:v>
                </c:pt>
                <c:pt idx="81">
                  <c:v>7/15/1997</c:v>
                </c:pt>
                <c:pt idx="82">
                  <c:v>7/22/1997</c:v>
                </c:pt>
                <c:pt idx="83">
                  <c:v>7/29/1997</c:v>
                </c:pt>
                <c:pt idx="84">
                  <c:v>08.05.1997</c:v>
                </c:pt>
                <c:pt idx="85">
                  <c:v>08.12.1997</c:v>
                </c:pt>
                <c:pt idx="86">
                  <c:v>8/19/1997</c:v>
                </c:pt>
                <c:pt idx="87">
                  <c:v>8/26/1997</c:v>
                </c:pt>
                <c:pt idx="88">
                  <c:v>09.02.1997</c:v>
                </c:pt>
                <c:pt idx="89">
                  <c:v>09.09.1997</c:v>
                </c:pt>
                <c:pt idx="90">
                  <c:v>9/16/1997</c:v>
                </c:pt>
                <c:pt idx="91">
                  <c:v>9/23/1997</c:v>
                </c:pt>
                <c:pt idx="92">
                  <c:v>9/30/1997</c:v>
                </c:pt>
                <c:pt idx="93">
                  <c:v>10.07.1997</c:v>
                </c:pt>
                <c:pt idx="94">
                  <c:v>10/14/1997</c:v>
                </c:pt>
                <c:pt idx="95">
                  <c:v>10/21/1997</c:v>
                </c:pt>
                <c:pt idx="96">
                  <c:v>10/28/1997</c:v>
                </c:pt>
                <c:pt idx="97">
                  <c:v>11.04.1997</c:v>
                </c:pt>
                <c:pt idx="98">
                  <c:v>11.11.1997</c:v>
                </c:pt>
                <c:pt idx="99">
                  <c:v>11/18/1997</c:v>
                </c:pt>
                <c:pt idx="100">
                  <c:v>11/25/1997</c:v>
                </c:pt>
                <c:pt idx="101">
                  <c:v>12.02.1997</c:v>
                </c:pt>
                <c:pt idx="102">
                  <c:v>12.09.1997</c:v>
                </c:pt>
                <c:pt idx="103">
                  <c:v>12/16/1997</c:v>
                </c:pt>
                <c:pt idx="104">
                  <c:v>12/23/1997</c:v>
                </c:pt>
                <c:pt idx="105">
                  <c:v>12/30/1997</c:v>
                </c:pt>
                <c:pt idx="106">
                  <c:v>01.06.1998</c:v>
                </c:pt>
                <c:pt idx="107">
                  <c:v>1/13/1998</c:v>
                </c:pt>
                <c:pt idx="108">
                  <c:v>1/20/1998</c:v>
                </c:pt>
                <c:pt idx="109">
                  <c:v>1/27/1998</c:v>
                </c:pt>
                <c:pt idx="110">
                  <c:v>02.03.1998</c:v>
                </c:pt>
                <c:pt idx="111">
                  <c:v>02.10.1998</c:v>
                </c:pt>
                <c:pt idx="112">
                  <c:v>2/17/1998</c:v>
                </c:pt>
                <c:pt idx="113">
                  <c:v>2/24/1998</c:v>
                </c:pt>
                <c:pt idx="114">
                  <c:v>03.03.1998</c:v>
                </c:pt>
                <c:pt idx="115">
                  <c:v>03.10.1998</c:v>
                </c:pt>
                <c:pt idx="116">
                  <c:v>3/17/1998</c:v>
                </c:pt>
                <c:pt idx="117">
                  <c:v>3/24/1998</c:v>
                </c:pt>
                <c:pt idx="118">
                  <c:v>3/31/1998</c:v>
                </c:pt>
                <c:pt idx="119">
                  <c:v>04.07.1998</c:v>
                </c:pt>
                <c:pt idx="120">
                  <c:v>4/14/1998</c:v>
                </c:pt>
                <c:pt idx="121">
                  <c:v>4/21/1998</c:v>
                </c:pt>
                <c:pt idx="122">
                  <c:v>4/28/1998</c:v>
                </c:pt>
                <c:pt idx="123">
                  <c:v>05.05.1998</c:v>
                </c:pt>
                <c:pt idx="124">
                  <c:v>05.12.1998</c:v>
                </c:pt>
                <c:pt idx="125">
                  <c:v>5/19/1998</c:v>
                </c:pt>
                <c:pt idx="126">
                  <c:v>5/26/1998</c:v>
                </c:pt>
                <c:pt idx="127">
                  <c:v>06.02.1998</c:v>
                </c:pt>
                <c:pt idx="128">
                  <c:v>06.09.1998</c:v>
                </c:pt>
                <c:pt idx="129">
                  <c:v>6/16/1998</c:v>
                </c:pt>
                <c:pt idx="130">
                  <c:v>6/23/1998</c:v>
                </c:pt>
                <c:pt idx="131">
                  <c:v>6/30/1998</c:v>
                </c:pt>
                <c:pt idx="132">
                  <c:v>07.07.1998</c:v>
                </c:pt>
                <c:pt idx="133">
                  <c:v>7/14/1998</c:v>
                </c:pt>
                <c:pt idx="134">
                  <c:v>7/21/1998</c:v>
                </c:pt>
                <c:pt idx="135">
                  <c:v>7/28/1998</c:v>
                </c:pt>
                <c:pt idx="136">
                  <c:v>08.04.1998</c:v>
                </c:pt>
                <c:pt idx="137">
                  <c:v>08.11.1998</c:v>
                </c:pt>
                <c:pt idx="138">
                  <c:v>8/18/1998</c:v>
                </c:pt>
              </c:strCache>
            </c:strRef>
          </c:cat>
          <c:val>
            <c:numRef>
              <c:f>'ITL week 1996.01.01 (2)'!$J$2:$J$140</c:f>
              <c:numCache>
                <c:formatCode>General</c:formatCode>
                <c:ptCount val="139"/>
                <c:pt idx="0">
                  <c:v>6.6140212759999999</c:v>
                </c:pt>
                <c:pt idx="1">
                  <c:v>6.8170923003952693</c:v>
                </c:pt>
                <c:pt idx="2">
                  <c:v>6.6477619153258729</c:v>
                </c:pt>
                <c:pt idx="3">
                  <c:v>6.5900012462324868</c:v>
                </c:pt>
                <c:pt idx="4">
                  <c:v>6.4443555088244704</c:v>
                </c:pt>
                <c:pt idx="5">
                  <c:v>6.5439341932921016</c:v>
                </c:pt>
                <c:pt idx="6">
                  <c:v>6.202240359847857</c:v>
                </c:pt>
                <c:pt idx="7">
                  <c:v>6.4079160328575986</c:v>
                </c:pt>
                <c:pt idx="8">
                  <c:v>6.1260603365430075</c:v>
                </c:pt>
                <c:pt idx="9">
                  <c:v>6.1886776750438717</c:v>
                </c:pt>
                <c:pt idx="10">
                  <c:v>6.172202813327166</c:v>
                </c:pt>
                <c:pt idx="11">
                  <c:v>6.0648659271384373</c:v>
                </c:pt>
                <c:pt idx="12">
                  <c:v>6.0361413842678919</c:v>
                </c:pt>
                <c:pt idx="13">
                  <c:v>5.9247747045620098</c:v>
                </c:pt>
                <c:pt idx="14">
                  <c:v>6.0576313941001203</c:v>
                </c:pt>
                <c:pt idx="15">
                  <c:v>5.9458154473123814</c:v>
                </c:pt>
                <c:pt idx="16">
                  <c:v>6.1176068329471889</c:v>
                </c:pt>
                <c:pt idx="17">
                  <c:v>6.4102140039584965</c:v>
                </c:pt>
                <c:pt idx="18">
                  <c:v>6.4444931328271826</c:v>
                </c:pt>
                <c:pt idx="19">
                  <c:v>6.6312173869139235</c:v>
                </c:pt>
                <c:pt idx="20">
                  <c:v>6.8801881042580035</c:v>
                </c:pt>
                <c:pt idx="21">
                  <c:v>7.0035923693221855</c:v>
                </c:pt>
                <c:pt idx="22">
                  <c:v>7.0526610560177661</c:v>
                </c:pt>
                <c:pt idx="23">
                  <c:v>7.1387342912816409</c:v>
                </c:pt>
                <c:pt idx="24">
                  <c:v>7.1298220808681396</c:v>
                </c:pt>
                <c:pt idx="25">
                  <c:v>7.0730779148960465</c:v>
                </c:pt>
                <c:pt idx="26">
                  <c:v>6.9142898089149361</c:v>
                </c:pt>
                <c:pt idx="27">
                  <c:v>6.8972214872969966</c:v>
                </c:pt>
                <c:pt idx="28">
                  <c:v>6.59742466264293</c:v>
                </c:pt>
                <c:pt idx="29">
                  <c:v>6.652202140309976</c:v>
                </c:pt>
                <c:pt idx="30">
                  <c:v>6.519570461045503</c:v>
                </c:pt>
                <c:pt idx="31">
                  <c:v>6.3629664284243006</c:v>
                </c:pt>
                <c:pt idx="32">
                  <c:v>6.0145156506575672</c:v>
                </c:pt>
                <c:pt idx="33">
                  <c:v>6.0550860275916749</c:v>
                </c:pt>
                <c:pt idx="34">
                  <c:v>5.9647143202106072</c:v>
                </c:pt>
                <c:pt idx="35">
                  <c:v>5.6886307594980225</c:v>
                </c:pt>
                <c:pt idx="36">
                  <c:v>5.7902510534985021</c:v>
                </c:pt>
                <c:pt idx="37">
                  <c:v>6.0178152106597871</c:v>
                </c:pt>
                <c:pt idx="38">
                  <c:v>5.7704668321378421</c:v>
                </c:pt>
                <c:pt idx="39">
                  <c:v>5.6621614198797223</c:v>
                </c:pt>
                <c:pt idx="40">
                  <c:v>5.5561762280626628</c:v>
                </c:pt>
                <c:pt idx="41">
                  <c:v>5.4661325511174859</c:v>
                </c:pt>
                <c:pt idx="42">
                  <c:v>5.4533569045327175</c:v>
                </c:pt>
                <c:pt idx="43">
                  <c:v>5.3616570358428088</c:v>
                </c:pt>
                <c:pt idx="44">
                  <c:v>5.4572674097718163</c:v>
                </c:pt>
                <c:pt idx="45">
                  <c:v>5.6458468615286233</c:v>
                </c:pt>
                <c:pt idx="46">
                  <c:v>5.3581133322601806</c:v>
                </c:pt>
                <c:pt idx="47">
                  <c:v>5.2076941721617107</c:v>
                </c:pt>
                <c:pt idx="48">
                  <c:v>5.1425834751029518</c:v>
                </c:pt>
                <c:pt idx="49">
                  <c:v>4.8651371098096332</c:v>
                </c:pt>
                <c:pt idx="50">
                  <c:v>4.7529644600722385</c:v>
                </c:pt>
                <c:pt idx="51">
                  <c:v>4.4109616568319971</c:v>
                </c:pt>
                <c:pt idx="52">
                  <c:v>4.6340525189250359</c:v>
                </c:pt>
                <c:pt idx="53">
                  <c:v>4.6847041991165073</c:v>
                </c:pt>
                <c:pt idx="54">
                  <c:v>4.3700768796385248</c:v>
                </c:pt>
                <c:pt idx="55">
                  <c:v>4.3733228338148562</c:v>
                </c:pt>
                <c:pt idx="56">
                  <c:v>4.5725504320631094</c:v>
                </c:pt>
                <c:pt idx="57">
                  <c:v>4.5280146653976292</c:v>
                </c:pt>
                <c:pt idx="58">
                  <c:v>4.6179115089416332</c:v>
                </c:pt>
                <c:pt idx="59">
                  <c:v>4.8917119730049796</c:v>
                </c:pt>
                <c:pt idx="60">
                  <c:v>4.7932052888884344</c:v>
                </c:pt>
                <c:pt idx="61">
                  <c:v>4.7622523393750589</c:v>
                </c:pt>
                <c:pt idx="62">
                  <c:v>4.6291218902006754</c:v>
                </c:pt>
                <c:pt idx="63">
                  <c:v>4.4752908392049493</c:v>
                </c:pt>
                <c:pt idx="64">
                  <c:v>4.2291821505741245</c:v>
                </c:pt>
                <c:pt idx="65">
                  <c:v>4.389325660626878</c:v>
                </c:pt>
                <c:pt idx="66">
                  <c:v>4.33319888455868</c:v>
                </c:pt>
                <c:pt idx="67">
                  <c:v>3.9012470348850767</c:v>
                </c:pt>
                <c:pt idx="68">
                  <c:v>4.1017089780532832</c:v>
                </c:pt>
                <c:pt idx="69">
                  <c:v>4.0251125504963587</c:v>
                </c:pt>
                <c:pt idx="70">
                  <c:v>3.9928687845254136</c:v>
                </c:pt>
                <c:pt idx="71">
                  <c:v>3.8834920649079923</c:v>
                </c:pt>
                <c:pt idx="72">
                  <c:v>3.8604625770498178</c:v>
                </c:pt>
                <c:pt idx="73">
                  <c:v>3.5962222181738253</c:v>
                </c:pt>
                <c:pt idx="74">
                  <c:v>3.713560460855172</c:v>
                </c:pt>
                <c:pt idx="75">
                  <c:v>3.6666509401941627</c:v>
                </c:pt>
                <c:pt idx="76">
                  <c:v>3.7033725944615776</c:v>
                </c:pt>
                <c:pt idx="77">
                  <c:v>3.7003847444110041</c:v>
                </c:pt>
                <c:pt idx="78">
                  <c:v>3.6206987001729445</c:v>
                </c:pt>
                <c:pt idx="79">
                  <c:v>3.6508074251105658</c:v>
                </c:pt>
                <c:pt idx="80">
                  <c:v>3.5239573363984116</c:v>
                </c:pt>
                <c:pt idx="81">
                  <c:v>3.589927996453552</c:v>
                </c:pt>
                <c:pt idx="82">
                  <c:v>3.2697232016317122</c:v>
                </c:pt>
                <c:pt idx="83">
                  <c:v>3.2401057207750501</c:v>
                </c:pt>
                <c:pt idx="84">
                  <c:v>3.5144978473122519</c:v>
                </c:pt>
                <c:pt idx="85">
                  <c:v>3.1798733692885266</c:v>
                </c:pt>
                <c:pt idx="86">
                  <c:v>3.2949721231103637</c:v>
                </c:pt>
                <c:pt idx="87">
                  <c:v>3.3676092855890141</c:v>
                </c:pt>
                <c:pt idx="88">
                  <c:v>3.3801897148065976</c:v>
                </c:pt>
                <c:pt idx="89">
                  <c:v>3.2461647945385654</c:v>
                </c:pt>
                <c:pt idx="90">
                  <c:v>3.5398229081184716</c:v>
                </c:pt>
                <c:pt idx="91">
                  <c:v>3.4900092284797122</c:v>
                </c:pt>
                <c:pt idx="92">
                  <c:v>3.0489928778764117</c:v>
                </c:pt>
                <c:pt idx="93">
                  <c:v>3.1251532329396814</c:v>
                </c:pt>
                <c:pt idx="94">
                  <c:v>2.7501265655273346</c:v>
                </c:pt>
                <c:pt idx="95">
                  <c:v>2.4048006805330897</c:v>
                </c:pt>
                <c:pt idx="96">
                  <c:v>2.268642003523988</c:v>
                </c:pt>
                <c:pt idx="97">
                  <c:v>2.218698188921612</c:v>
                </c:pt>
                <c:pt idx="98">
                  <c:v>2.2948110411973177</c:v>
                </c:pt>
                <c:pt idx="99">
                  <c:v>2.2653680239299292</c:v>
                </c:pt>
                <c:pt idx="100">
                  <c:v>2.4023864990569095</c:v>
                </c:pt>
                <c:pt idx="101">
                  <c:v>2.1662064649118427</c:v>
                </c:pt>
                <c:pt idx="102">
                  <c:v>2.1185050510043371</c:v>
                </c:pt>
                <c:pt idx="103">
                  <c:v>2.3461383180702233</c:v>
                </c:pt>
                <c:pt idx="104">
                  <c:v>2.2097179705705154</c:v>
                </c:pt>
                <c:pt idx="105">
                  <c:v>2.3030195061072631</c:v>
                </c:pt>
                <c:pt idx="106">
                  <c:v>2.1814072911722024</c:v>
                </c:pt>
                <c:pt idx="107">
                  <c:v>2.342424748867475</c:v>
                </c:pt>
                <c:pt idx="108">
                  <c:v>2.4009350706813612</c:v>
                </c:pt>
                <c:pt idx="109">
                  <c:v>2.2874897413448703</c:v>
                </c:pt>
                <c:pt idx="110">
                  <c:v>2.3986878783504819</c:v>
                </c:pt>
                <c:pt idx="111">
                  <c:v>2.3257503803907262</c:v>
                </c:pt>
                <c:pt idx="112">
                  <c:v>2.3795536830287625</c:v>
                </c:pt>
                <c:pt idx="113">
                  <c:v>2.346773829409301</c:v>
                </c:pt>
                <c:pt idx="114">
                  <c:v>2.4044024668694597</c:v>
                </c:pt>
                <c:pt idx="115">
                  <c:v>2.5509405153853937</c:v>
                </c:pt>
                <c:pt idx="116">
                  <c:v>2.1705385910968991</c:v>
                </c:pt>
                <c:pt idx="117">
                  <c:v>1.8415574425723951</c:v>
                </c:pt>
                <c:pt idx="118">
                  <c:v>1.5449756794816147</c:v>
                </c:pt>
                <c:pt idx="119">
                  <c:v>1.3550677315534032</c:v>
                </c:pt>
                <c:pt idx="120">
                  <c:v>1.3254353196852231</c:v>
                </c:pt>
                <c:pt idx="121">
                  <c:v>1.2932570070163232</c:v>
                </c:pt>
                <c:pt idx="122">
                  <c:v>1.1768636383527498</c:v>
                </c:pt>
                <c:pt idx="123">
                  <c:v>1.3404286635375871</c:v>
                </c:pt>
                <c:pt idx="124">
                  <c:v>1.0466645170054243</c:v>
                </c:pt>
                <c:pt idx="125">
                  <c:v>0.89704100407851894</c:v>
                </c:pt>
                <c:pt idx="126">
                  <c:v>0.62777923386654833</c:v>
                </c:pt>
                <c:pt idx="127">
                  <c:v>0.60263060800830537</c:v>
                </c:pt>
                <c:pt idx="128">
                  <c:v>0.62251119850165937</c:v>
                </c:pt>
                <c:pt idx="129">
                  <c:v>0.42170168041805212</c:v>
                </c:pt>
                <c:pt idx="130">
                  <c:v>0.59690208753319896</c:v>
                </c:pt>
                <c:pt idx="131">
                  <c:v>0.23949833323213271</c:v>
                </c:pt>
                <c:pt idx="132">
                  <c:v>0.22273295802434714</c:v>
                </c:pt>
                <c:pt idx="133">
                  <c:v>0.1017188995744915</c:v>
                </c:pt>
                <c:pt idx="134">
                  <c:v>0.25571159527895804</c:v>
                </c:pt>
                <c:pt idx="135">
                  <c:v>0.43594831814818114</c:v>
                </c:pt>
                <c:pt idx="136">
                  <c:v>0.25762469812143596</c:v>
                </c:pt>
                <c:pt idx="137">
                  <c:v>0.32445507607154156</c:v>
                </c:pt>
                <c:pt idx="138">
                  <c:v>0.26432873097146281</c:v>
                </c:pt>
              </c:numCache>
            </c:numRef>
          </c:val>
        </c:ser>
        <c:ser>
          <c:idx val="1"/>
          <c:order val="1"/>
          <c:tx>
            <c:strRef>
              <c:f>'ITL week 1996.01.01 (2)'!$C$1</c:f>
              <c:strCache>
                <c:ptCount val="1"/>
                <c:pt idx="0">
                  <c:v>data</c:v>
                </c:pt>
              </c:strCache>
            </c:strRef>
          </c:tx>
          <c:marker>
            <c:symbol val="none"/>
          </c:marker>
          <c:val>
            <c:numRef>
              <c:f>'ITL week 1996.01.01 (2)'!$C$2:$C$140</c:f>
              <c:numCache>
                <c:formatCode>General</c:formatCode>
                <c:ptCount val="139"/>
                <c:pt idx="0">
                  <c:v>6.6140212759999999</c:v>
                </c:pt>
                <c:pt idx="1">
                  <c:v>6.4255544970000003</c:v>
                </c:pt>
                <c:pt idx="2">
                  <c:v>6.3633932770000001</c:v>
                </c:pt>
                <c:pt idx="3">
                  <c:v>6.2069927839999997</c:v>
                </c:pt>
                <c:pt idx="4">
                  <c:v>6.4429433119999997</c:v>
                </c:pt>
                <c:pt idx="5">
                  <c:v>6.3808362000000001</c:v>
                </c:pt>
                <c:pt idx="6">
                  <c:v>6.41231302</c:v>
                </c:pt>
                <c:pt idx="7">
                  <c:v>7.1195731689999997</c:v>
                </c:pt>
                <c:pt idx="8">
                  <c:v>6.7581515809999999</c:v>
                </c:pt>
                <c:pt idx="9">
                  <c:v>6.5069472519999998</c:v>
                </c:pt>
                <c:pt idx="10">
                  <c:v>6.4280838559999998</c:v>
                </c:pt>
                <c:pt idx="11">
                  <c:v>6.5536100910000004</c:v>
                </c:pt>
                <c:pt idx="12">
                  <c:v>6.5539514370000003</c:v>
                </c:pt>
                <c:pt idx="13">
                  <c:v>6.6488213829999996</c:v>
                </c:pt>
                <c:pt idx="14">
                  <c:v>6.6489949910000004</c:v>
                </c:pt>
                <c:pt idx="15">
                  <c:v>6.585123286</c:v>
                </c:pt>
                <c:pt idx="16">
                  <c:v>6.1768133230000002</c:v>
                </c:pt>
                <c:pt idx="17">
                  <c:v>6.0669253110000003</c:v>
                </c:pt>
                <c:pt idx="18">
                  <c:v>5.7052705660000003</c:v>
                </c:pt>
                <c:pt idx="19">
                  <c:v>5.7838570980000004</c:v>
                </c:pt>
                <c:pt idx="20">
                  <c:v>5.6737736999999999</c:v>
                </c:pt>
                <c:pt idx="21">
                  <c:v>5.8625919489999996</c:v>
                </c:pt>
                <c:pt idx="22">
                  <c:v>5.8942390619999996</c:v>
                </c:pt>
                <c:pt idx="23">
                  <c:v>5.8627462039999996</c:v>
                </c:pt>
                <c:pt idx="24">
                  <c:v>5.6734751609999998</c:v>
                </c:pt>
                <c:pt idx="25">
                  <c:v>5.2330280829999998</c:v>
                </c:pt>
                <c:pt idx="26">
                  <c:v>5.5476889700000003</c:v>
                </c:pt>
                <c:pt idx="27">
                  <c:v>5.7682105259999998</c:v>
                </c:pt>
                <c:pt idx="28">
                  <c:v>5.7995538560000002</c:v>
                </c:pt>
                <c:pt idx="29">
                  <c:v>5.5168699869999998</c:v>
                </c:pt>
                <c:pt idx="30">
                  <c:v>5.4853670430000001</c:v>
                </c:pt>
                <c:pt idx="31">
                  <c:v>5.4694213549999997</c:v>
                </c:pt>
                <c:pt idx="32">
                  <c:v>5.7372679289999997</c:v>
                </c:pt>
                <c:pt idx="33">
                  <c:v>5.7054947609999997</c:v>
                </c:pt>
                <c:pt idx="34">
                  <c:v>5.6589671539999999</c:v>
                </c:pt>
                <c:pt idx="35">
                  <c:v>5.4545083029999999</c:v>
                </c:pt>
                <c:pt idx="36">
                  <c:v>5.4859446050000003</c:v>
                </c:pt>
                <c:pt idx="37">
                  <c:v>5.4237416869999997</c:v>
                </c:pt>
                <c:pt idx="38">
                  <c:v>5.2031264779999997</c:v>
                </c:pt>
                <c:pt idx="39">
                  <c:v>5.1088103609999997</c:v>
                </c:pt>
                <c:pt idx="40">
                  <c:v>5.2974692560000003</c:v>
                </c:pt>
                <c:pt idx="41">
                  <c:v>5.1873179330000001</c:v>
                </c:pt>
                <c:pt idx="42">
                  <c:v>5.1873179330000001</c:v>
                </c:pt>
                <c:pt idx="43">
                  <c:v>4.8413838460000003</c:v>
                </c:pt>
                <c:pt idx="44">
                  <c:v>4.683757097</c:v>
                </c:pt>
                <c:pt idx="45">
                  <c:v>4.6366128010000001</c:v>
                </c:pt>
                <c:pt idx="46">
                  <c:v>4.479150551</c:v>
                </c:pt>
                <c:pt idx="47">
                  <c:v>4.2431910369999999</c:v>
                </c:pt>
                <c:pt idx="48">
                  <c:v>4.2897776319999998</c:v>
                </c:pt>
                <c:pt idx="49">
                  <c:v>4.3210860340000004</c:v>
                </c:pt>
                <c:pt idx="50">
                  <c:v>4.3840086730000003</c:v>
                </c:pt>
                <c:pt idx="51">
                  <c:v>4.0533691169999999</c:v>
                </c:pt>
                <c:pt idx="52">
                  <c:v>4.384527125</c:v>
                </c:pt>
                <c:pt idx="53">
                  <c:v>4.4319398379999999</c:v>
                </c:pt>
                <c:pt idx="54">
                  <c:v>4.6367963830000001</c:v>
                </c:pt>
                <c:pt idx="55">
                  <c:v>4.2425775059999999</c:v>
                </c:pt>
                <c:pt idx="56">
                  <c:v>4.1958068739999899</c:v>
                </c:pt>
                <c:pt idx="57">
                  <c:v>4.4634329580000003</c:v>
                </c:pt>
                <c:pt idx="58">
                  <c:v>4.3908152410000003</c:v>
                </c:pt>
                <c:pt idx="59">
                  <c:v>4.2746010160000001</c:v>
                </c:pt>
                <c:pt idx="60">
                  <c:v>4.1435066110000003</c:v>
                </c:pt>
                <c:pt idx="61">
                  <c:v>4.1888153399999899</c:v>
                </c:pt>
                <c:pt idx="62">
                  <c:v>4.1434722529999899</c:v>
                </c:pt>
                <c:pt idx="63">
                  <c:v>4.2696348759999898</c:v>
                </c:pt>
                <c:pt idx="64">
                  <c:v>4.0827725299999997</c:v>
                </c:pt>
                <c:pt idx="65">
                  <c:v>4.1638261400000003</c:v>
                </c:pt>
                <c:pt idx="66">
                  <c:v>4.0063704649999998</c:v>
                </c:pt>
                <c:pt idx="67">
                  <c:v>3.8960589080000001</c:v>
                </c:pt>
                <c:pt idx="68">
                  <c:v>3.659936466</c:v>
                </c:pt>
                <c:pt idx="69">
                  <c:v>3.9436372999999998</c:v>
                </c:pt>
                <c:pt idx="70">
                  <c:v>3.9437437200000001</c:v>
                </c:pt>
                <c:pt idx="71">
                  <c:v>3.9120908299999999</c:v>
                </c:pt>
                <c:pt idx="72">
                  <c:v>3.6445459109999998</c:v>
                </c:pt>
                <c:pt idx="73">
                  <c:v>3.7392074169999998</c:v>
                </c:pt>
                <c:pt idx="74">
                  <c:v>3.8966217049999998</c:v>
                </c:pt>
                <c:pt idx="75">
                  <c:v>3.8965727330000002</c:v>
                </c:pt>
                <c:pt idx="76">
                  <c:v>3.8494471410000002</c:v>
                </c:pt>
                <c:pt idx="77">
                  <c:v>3.8020173910000001</c:v>
                </c:pt>
                <c:pt idx="78">
                  <c:v>3.7705649600000002</c:v>
                </c:pt>
                <c:pt idx="79">
                  <c:v>3.8492945719999998</c:v>
                </c:pt>
                <c:pt idx="80">
                  <c:v>3.8492945719999998</c:v>
                </c:pt>
                <c:pt idx="81">
                  <c:v>3.8333681020000001</c:v>
                </c:pt>
                <c:pt idx="82">
                  <c:v>3.8649179660000001</c:v>
                </c:pt>
                <c:pt idx="83">
                  <c:v>3.7390138309999998</c:v>
                </c:pt>
                <c:pt idx="84">
                  <c:v>3.7546905540000002</c:v>
                </c:pt>
                <c:pt idx="85">
                  <c:v>3.8965199130000001</c:v>
                </c:pt>
                <c:pt idx="86">
                  <c:v>3.7071633390000001</c:v>
                </c:pt>
                <c:pt idx="87">
                  <c:v>3.6126087280000001</c:v>
                </c:pt>
                <c:pt idx="88">
                  <c:v>3.7232381229999998</c:v>
                </c:pt>
                <c:pt idx="89">
                  <c:v>3.612798798</c:v>
                </c:pt>
                <c:pt idx="90">
                  <c:v>3.297527594</c:v>
                </c:pt>
                <c:pt idx="91">
                  <c:v>3.4710403479999998</c:v>
                </c:pt>
                <c:pt idx="92">
                  <c:v>3.54959917</c:v>
                </c:pt>
                <c:pt idx="93">
                  <c:v>3.42290546</c:v>
                </c:pt>
                <c:pt idx="94">
                  <c:v>3.1864259640000001</c:v>
                </c:pt>
                <c:pt idx="95">
                  <c:v>3.3757480599999998</c:v>
                </c:pt>
                <c:pt idx="96">
                  <c:v>3.1389749060000001</c:v>
                </c:pt>
                <c:pt idx="97">
                  <c:v>3.3124882609999999</c:v>
                </c:pt>
                <c:pt idx="98">
                  <c:v>2.8550746679999999</c:v>
                </c:pt>
                <c:pt idx="99">
                  <c:v>2.571495546</c:v>
                </c:pt>
                <c:pt idx="100">
                  <c:v>2.4296180359999999</c:v>
                </c:pt>
                <c:pt idx="101">
                  <c:v>2.4768876940000002</c:v>
                </c:pt>
                <c:pt idx="102">
                  <c:v>2.4295490339999999</c:v>
                </c:pt>
                <c:pt idx="103">
                  <c:v>2.4298735150000002</c:v>
                </c:pt>
                <c:pt idx="104">
                  <c:v>2.9972326599999999</c:v>
                </c:pt>
                <c:pt idx="105">
                  <c:v>2.5561321549999998</c:v>
                </c:pt>
                <c:pt idx="106">
                  <c:v>2.4453170160000002</c:v>
                </c:pt>
                <c:pt idx="107">
                  <c:v>2.761133338</c:v>
                </c:pt>
                <c:pt idx="108">
                  <c:v>2.508293321</c:v>
                </c:pt>
                <c:pt idx="109">
                  <c:v>2.9505444299999999</c:v>
                </c:pt>
                <c:pt idx="110">
                  <c:v>2.7926752920000002</c:v>
                </c:pt>
                <c:pt idx="111">
                  <c:v>2.6508555839999999</c:v>
                </c:pt>
                <c:pt idx="112">
                  <c:v>2.7454352219999998</c:v>
                </c:pt>
                <c:pt idx="113">
                  <c:v>2.6507856950000002</c:v>
                </c:pt>
                <c:pt idx="114">
                  <c:v>2.4774415470000002</c:v>
                </c:pt>
                <c:pt idx="115">
                  <c:v>2.177796635</c:v>
                </c:pt>
                <c:pt idx="116">
                  <c:v>2.0675096339999999</c:v>
                </c:pt>
                <c:pt idx="117">
                  <c:v>1.799010134</c:v>
                </c:pt>
                <c:pt idx="118">
                  <c:v>2.1619831629999999</c:v>
                </c:pt>
                <c:pt idx="119">
                  <c:v>1.846385019</c:v>
                </c:pt>
                <c:pt idx="120">
                  <c:v>1.9884575090000001</c:v>
                </c:pt>
                <c:pt idx="121">
                  <c:v>1.688644909</c:v>
                </c:pt>
                <c:pt idx="122">
                  <c:v>1.6729974089999999</c:v>
                </c:pt>
                <c:pt idx="123">
                  <c:v>1.736095261</c:v>
                </c:pt>
                <c:pt idx="124">
                  <c:v>1.90963616</c:v>
                </c:pt>
                <c:pt idx="125">
                  <c:v>1.9728172470000001</c:v>
                </c:pt>
                <c:pt idx="126">
                  <c:v>2.0044594670000002</c:v>
                </c:pt>
                <c:pt idx="127">
                  <c:v>2.0674359949999999</c:v>
                </c:pt>
                <c:pt idx="128">
                  <c:v>1.7993596430000001</c:v>
                </c:pt>
                <c:pt idx="129">
                  <c:v>1.8940154659999999</c:v>
                </c:pt>
                <c:pt idx="130">
                  <c:v>1.6416522570000001</c:v>
                </c:pt>
                <c:pt idx="131">
                  <c:v>1.452345757</c:v>
                </c:pt>
                <c:pt idx="132">
                  <c:v>1.531222791</c:v>
                </c:pt>
                <c:pt idx="133">
                  <c:v>1.42076045</c:v>
                </c:pt>
                <c:pt idx="134">
                  <c:v>1.4049342010000001</c:v>
                </c:pt>
                <c:pt idx="135">
                  <c:v>1.546973063</c:v>
                </c:pt>
                <c:pt idx="136">
                  <c:v>1.5312427120000001</c:v>
                </c:pt>
                <c:pt idx="137">
                  <c:v>1.5312626110000001</c:v>
                </c:pt>
                <c:pt idx="138">
                  <c:v>1.531222791</c:v>
                </c:pt>
              </c:numCache>
            </c:numRef>
          </c:val>
        </c:ser>
        <c:marker val="1"/>
        <c:axId val="47335680"/>
        <c:axId val="47349760"/>
      </c:lineChart>
      <c:catAx>
        <c:axId val="47335680"/>
        <c:scaling>
          <c:orientation val="minMax"/>
        </c:scaling>
        <c:axPos val="b"/>
        <c:numFmt formatCode="General" sourceLinked="1"/>
        <c:tickLblPos val="nextTo"/>
        <c:crossAx val="47349760"/>
        <c:crosses val="autoZero"/>
        <c:auto val="1"/>
        <c:lblAlgn val="ctr"/>
        <c:lblOffset val="100"/>
      </c:catAx>
      <c:valAx>
        <c:axId val="47349760"/>
        <c:scaling>
          <c:orientation val="minMax"/>
        </c:scaling>
        <c:axPos val="l"/>
        <c:majorGridlines/>
        <c:numFmt formatCode="General" sourceLinked="1"/>
        <c:tickLblPos val="nextTo"/>
        <c:crossAx val="47335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564356435643561"/>
          <c:y val="0.35416666666666669"/>
          <c:w val="0.14851485148514851"/>
          <c:h val="0.16666666666666666"/>
        </c:manualLayout>
      </c:layout>
    </c:legend>
    <c:plotVisOnly val="1"/>
    <c:dispBlanksAs val="gap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16</xdr:row>
      <xdr:rowOff>161925</xdr:rowOff>
    </xdr:from>
    <xdr:to>
      <xdr:col>16</xdr:col>
      <xdr:colOff>361950</xdr:colOff>
      <xdr:row>31</xdr:row>
      <xdr:rowOff>47625</xdr:rowOff>
    </xdr:to>
    <xdr:graphicFrame macro="">
      <xdr:nvGraphicFramePr>
        <xdr:cNvPr id="204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06"/>
  <sheetViews>
    <sheetView tabSelected="1" topLeftCell="A377" workbookViewId="0">
      <selection activeCell="B268" activeCellId="1" sqref="M269:M406 B268:B406"/>
    </sheetView>
  </sheetViews>
  <sheetFormatPr defaultRowHeight="15"/>
  <cols>
    <col min="1" max="1" width="13.5703125" customWidth="1"/>
  </cols>
  <sheetData>
    <row r="1" spans="1:12">
      <c r="B1" t="s">
        <v>405</v>
      </c>
      <c r="L1" t="s">
        <v>499</v>
      </c>
    </row>
    <row r="2" spans="1:12">
      <c r="A2" t="s">
        <v>0</v>
      </c>
      <c r="B2">
        <v>8.3333000000000004E-2</v>
      </c>
      <c r="C2">
        <v>0.25</v>
      </c>
      <c r="D2">
        <v>0.5</v>
      </c>
      <c r="E2">
        <v>1</v>
      </c>
      <c r="F2">
        <v>2</v>
      </c>
      <c r="G2">
        <v>3</v>
      </c>
      <c r="H2">
        <v>4</v>
      </c>
      <c r="I2">
        <v>5</v>
      </c>
    </row>
    <row r="3" spans="1:12">
      <c r="A3" t="s">
        <v>1</v>
      </c>
      <c r="B3">
        <v>4.5223849679999999</v>
      </c>
      <c r="C3">
        <v>3.517548686</v>
      </c>
      <c r="D3">
        <v>3.0083313390000002</v>
      </c>
      <c r="E3">
        <v>2.69113259</v>
      </c>
      <c r="F3">
        <v>3.041434631</v>
      </c>
      <c r="G3">
        <v>3.3413718440000002</v>
      </c>
      <c r="H3">
        <v>3.4766974899999998</v>
      </c>
      <c r="I3">
        <v>3.498727524</v>
      </c>
    </row>
    <row r="4" spans="1:12">
      <c r="A4" t="s">
        <v>2</v>
      </c>
      <c r="B4">
        <v>4.3965322469999997</v>
      </c>
      <c r="C4">
        <v>3.2082459349999999</v>
      </c>
      <c r="D4">
        <v>3.063431639</v>
      </c>
      <c r="E4">
        <v>2.7976534929999999</v>
      </c>
      <c r="F4">
        <v>3.0106849929999999</v>
      </c>
      <c r="G4">
        <v>3.313569626</v>
      </c>
      <c r="H4">
        <v>3.4716653220000002</v>
      </c>
      <c r="I4">
        <v>3.4719385620000001</v>
      </c>
    </row>
    <row r="5" spans="1:12">
      <c r="A5" t="s">
        <v>3</v>
      </c>
      <c r="B5">
        <v>3.0768472</v>
      </c>
      <c r="C5">
        <v>2.77614918</v>
      </c>
      <c r="D5">
        <v>2.6441383539999999</v>
      </c>
      <c r="E5">
        <v>2.5143005820000002</v>
      </c>
      <c r="F5">
        <v>2.91338556</v>
      </c>
      <c r="G5">
        <v>3.2025792599999998</v>
      </c>
      <c r="H5">
        <v>3.4549155539999998</v>
      </c>
      <c r="I5">
        <v>3.4569662440000002</v>
      </c>
    </row>
    <row r="6" spans="1:12">
      <c r="A6" t="s">
        <v>4</v>
      </c>
      <c r="B6">
        <v>3.515936323</v>
      </c>
      <c r="C6">
        <v>3.0838991010000001</v>
      </c>
      <c r="D6">
        <v>2.823154213</v>
      </c>
      <c r="E6">
        <v>2.5707154069999998</v>
      </c>
      <c r="F6">
        <v>2.976583947</v>
      </c>
      <c r="G6">
        <v>3.230358565</v>
      </c>
      <c r="H6">
        <v>3.4779775019999999</v>
      </c>
      <c r="I6">
        <v>3.4749789550000001</v>
      </c>
    </row>
    <row r="7" spans="1:12">
      <c r="A7" t="s">
        <v>5</v>
      </c>
      <c r="B7">
        <v>3.5155687289999999</v>
      </c>
      <c r="C7">
        <v>3.2666677059999998</v>
      </c>
      <c r="D7">
        <v>3.1202208169999999</v>
      </c>
      <c r="E7">
        <v>2.6819183459999998</v>
      </c>
      <c r="F7">
        <v>3.091034075</v>
      </c>
      <c r="G7">
        <v>3.2944374829999998</v>
      </c>
      <c r="H7">
        <v>3.5381870599999998</v>
      </c>
      <c r="I7">
        <v>3.5417469380000002</v>
      </c>
    </row>
    <row r="8" spans="1:12">
      <c r="A8" t="s">
        <v>6</v>
      </c>
      <c r="B8">
        <v>2.4487894649999999</v>
      </c>
      <c r="C8">
        <v>2.5285979109999999</v>
      </c>
      <c r="D8">
        <v>2.5821039109999999</v>
      </c>
      <c r="E8">
        <v>2.736644911</v>
      </c>
      <c r="F8">
        <v>2.9860716300000001</v>
      </c>
      <c r="G8">
        <v>3.0967954290000002</v>
      </c>
      <c r="H8">
        <v>3.3668498310000001</v>
      </c>
      <c r="I8">
        <v>3.366572702</v>
      </c>
    </row>
    <row r="9" spans="1:12">
      <c r="A9" t="s">
        <v>7</v>
      </c>
      <c r="B9">
        <v>2.7007957029999998</v>
      </c>
      <c r="C9">
        <v>2.715084364</v>
      </c>
      <c r="D9">
        <v>2.9424091130000001</v>
      </c>
      <c r="E9">
        <v>2.736644911</v>
      </c>
      <c r="F9">
        <v>2.9956919759999998</v>
      </c>
      <c r="G9">
        <v>3.0712261440000002</v>
      </c>
      <c r="H9">
        <v>3.3525302909999999</v>
      </c>
      <c r="I9">
        <v>3.3524050179999998</v>
      </c>
    </row>
    <row r="10" spans="1:12">
      <c r="A10" t="s">
        <v>8</v>
      </c>
      <c r="B10">
        <v>3.0778125279999999</v>
      </c>
      <c r="C10">
        <v>2.529378216</v>
      </c>
      <c r="D10">
        <v>2.5813285719999999</v>
      </c>
      <c r="E10">
        <v>2.4508482049999998</v>
      </c>
      <c r="F10">
        <v>2.94896256</v>
      </c>
      <c r="G10">
        <v>3.1554342129999999</v>
      </c>
      <c r="H10">
        <v>3.382653286</v>
      </c>
      <c r="I10">
        <v>3.3983940129999999</v>
      </c>
    </row>
    <row r="11" spans="1:12">
      <c r="A11" t="s">
        <v>9</v>
      </c>
      <c r="B11">
        <v>3.4530618780000002</v>
      </c>
      <c r="C11">
        <v>3.0810478899999998</v>
      </c>
      <c r="D11">
        <v>2.8784685360000002</v>
      </c>
      <c r="E11">
        <v>2.7881007759999998</v>
      </c>
      <c r="F11">
        <v>3.0529662929999999</v>
      </c>
      <c r="G11">
        <v>3.2534427030000002</v>
      </c>
      <c r="H11">
        <v>3.5205600370000001</v>
      </c>
      <c r="I11">
        <v>3.5641231439999999</v>
      </c>
    </row>
    <row r="12" spans="1:12">
      <c r="A12" t="s">
        <v>10</v>
      </c>
      <c r="B12">
        <v>3.5174080970000001</v>
      </c>
      <c r="C12">
        <v>2.9609986679999998</v>
      </c>
      <c r="D12">
        <v>2.823154213</v>
      </c>
      <c r="E12">
        <v>2.7944622940000001</v>
      </c>
      <c r="F12">
        <v>3.134783745</v>
      </c>
      <c r="G12">
        <v>3.3189095210000001</v>
      </c>
      <c r="H12">
        <v>3.5384034170000001</v>
      </c>
      <c r="I12">
        <v>3.5606608249999998</v>
      </c>
    </row>
    <row r="13" spans="1:12">
      <c r="A13" t="s">
        <v>11</v>
      </c>
      <c r="B13">
        <v>3.4545075380000001</v>
      </c>
      <c r="C13">
        <v>3.2087406789999999</v>
      </c>
      <c r="D13">
        <v>2.8836567419999999</v>
      </c>
      <c r="E13">
        <v>2.7944622940000001</v>
      </c>
      <c r="F13">
        <v>3.1132020470000001</v>
      </c>
      <c r="G13">
        <v>3.3086827890000001</v>
      </c>
      <c r="H13">
        <v>3.5596118699999999</v>
      </c>
      <c r="I13">
        <v>3.5758560410000002</v>
      </c>
    </row>
    <row r="14" spans="1:12">
      <c r="A14" t="s">
        <v>12</v>
      </c>
      <c r="B14">
        <v>3.5170410049999998</v>
      </c>
      <c r="C14">
        <v>3.1467909870000002</v>
      </c>
      <c r="D14">
        <v>2.9459464980000001</v>
      </c>
      <c r="E14">
        <v>2.80085199</v>
      </c>
      <c r="F14">
        <v>3.3222885089999998</v>
      </c>
      <c r="G14">
        <v>3.4681749380000002</v>
      </c>
      <c r="H14">
        <v>3.7700109519999998</v>
      </c>
      <c r="I14">
        <v>3.7734712359999998</v>
      </c>
    </row>
    <row r="15" spans="1:12">
      <c r="A15" t="s">
        <v>13</v>
      </c>
      <c r="B15">
        <v>3.4541464049999999</v>
      </c>
      <c r="C15">
        <v>3.1467909870000002</v>
      </c>
      <c r="D15">
        <v>3.0065226109999998</v>
      </c>
      <c r="E15">
        <v>2.80085199</v>
      </c>
      <c r="F15">
        <v>3.2753938090000001</v>
      </c>
      <c r="G15">
        <v>3.4573562839999998</v>
      </c>
      <c r="H15">
        <v>3.7592164210000001</v>
      </c>
      <c r="I15">
        <v>3.7625948</v>
      </c>
    </row>
    <row r="16" spans="1:12">
      <c r="A16" t="s">
        <v>14</v>
      </c>
      <c r="B16">
        <v>3.391609034</v>
      </c>
      <c r="C16">
        <v>3.0858024180000001</v>
      </c>
      <c r="D16">
        <v>3.0074267020000001</v>
      </c>
      <c r="E16">
        <v>2.8621101430000002</v>
      </c>
      <c r="F16">
        <v>3.319770595</v>
      </c>
      <c r="G16">
        <v>3.5570969529999998</v>
      </c>
      <c r="H16">
        <v>3.7269765690000001</v>
      </c>
      <c r="I16">
        <v>3.7271955829999999</v>
      </c>
    </row>
    <row r="17" spans="1:9">
      <c r="A17" t="s">
        <v>15</v>
      </c>
      <c r="B17">
        <v>3.5795640529999999</v>
      </c>
      <c r="C17">
        <v>3.2087406789999999</v>
      </c>
      <c r="D17">
        <v>3.0671162330000001</v>
      </c>
      <c r="E17">
        <v>2.9185249679999998</v>
      </c>
      <c r="F17">
        <v>3.258661026</v>
      </c>
      <c r="G17">
        <v>3.5332215229999999</v>
      </c>
      <c r="H17">
        <v>3.6440494069999998</v>
      </c>
      <c r="I17">
        <v>3.635330422</v>
      </c>
    </row>
    <row r="18" spans="1:9">
      <c r="A18" t="s">
        <v>16</v>
      </c>
      <c r="B18">
        <v>3.2658228419999999</v>
      </c>
      <c r="C18">
        <v>3.0858024180000001</v>
      </c>
      <c r="D18">
        <v>2.9468330790000001</v>
      </c>
      <c r="E18">
        <v>2.8604726349999998</v>
      </c>
      <c r="F18">
        <v>3.2855904159999998</v>
      </c>
      <c r="G18">
        <v>3.5541595199999998</v>
      </c>
      <c r="H18">
        <v>3.6539700640000001</v>
      </c>
      <c r="I18">
        <v>3.66207262</v>
      </c>
    </row>
    <row r="19" spans="1:9">
      <c r="A19" t="s">
        <v>17</v>
      </c>
      <c r="B19">
        <v>3.3287144340000001</v>
      </c>
      <c r="C19">
        <v>3.0238527259999999</v>
      </c>
      <c r="D19">
        <v>2.8871256590000001</v>
      </c>
      <c r="E19">
        <v>2.8604726349999998</v>
      </c>
      <c r="F19">
        <v>3.204745033</v>
      </c>
      <c r="G19">
        <v>3.4845322680000002</v>
      </c>
      <c r="H19">
        <v>3.6067810919999999</v>
      </c>
      <c r="I19">
        <v>3.637361072</v>
      </c>
    </row>
    <row r="20" spans="1:9">
      <c r="A20" t="s">
        <v>18</v>
      </c>
      <c r="B20">
        <v>2.450072016</v>
      </c>
      <c r="C20">
        <v>2.4690182310000002</v>
      </c>
      <c r="D20">
        <v>2.4664455730000001</v>
      </c>
      <c r="E20">
        <v>2.4041246369999998</v>
      </c>
      <c r="F20">
        <v>2.9726763260000002</v>
      </c>
      <c r="G20">
        <v>3.2680836480000002</v>
      </c>
      <c r="H20">
        <v>3.392169655</v>
      </c>
      <c r="I20">
        <v>3.4149724880000001</v>
      </c>
    </row>
    <row r="21" spans="1:9">
      <c r="A21" t="s">
        <v>19</v>
      </c>
      <c r="B21">
        <v>2.3243058689999998</v>
      </c>
      <c r="C21">
        <v>2.2847228390000001</v>
      </c>
      <c r="D21">
        <v>2.1073966049999999</v>
      </c>
      <c r="E21">
        <v>2.0062783579999999</v>
      </c>
      <c r="F21">
        <v>2.6882399330000002</v>
      </c>
      <c r="G21">
        <v>2.9671908739999999</v>
      </c>
      <c r="H21">
        <v>3.288464678</v>
      </c>
      <c r="I21">
        <v>3.3219200600000001</v>
      </c>
    </row>
    <row r="22" spans="1:9">
      <c r="A22" t="s">
        <v>20</v>
      </c>
      <c r="B22">
        <v>2.7009370449999999</v>
      </c>
      <c r="C22">
        <v>2.345929124</v>
      </c>
      <c r="D22">
        <v>2.1061280870000001</v>
      </c>
      <c r="E22">
        <v>2.1185022509999998</v>
      </c>
      <c r="F22">
        <v>2.7844796239999998</v>
      </c>
      <c r="G22">
        <v>3.0384185960000001</v>
      </c>
      <c r="H22">
        <v>3.4289811600000002</v>
      </c>
      <c r="I22">
        <v>3.4380297519999998</v>
      </c>
    </row>
    <row r="23" spans="1:9">
      <c r="A23" t="s">
        <v>21</v>
      </c>
      <c r="B23">
        <v>2.5758521719999998</v>
      </c>
      <c r="C23">
        <v>2.408593851</v>
      </c>
      <c r="D23">
        <v>2.2876899119999998</v>
      </c>
      <c r="E23">
        <v>2.1776338200000001</v>
      </c>
      <c r="F23">
        <v>2.7545776919999998</v>
      </c>
      <c r="G23">
        <v>2.9746517039999998</v>
      </c>
      <c r="H23">
        <v>3.3555211690000002</v>
      </c>
      <c r="I23">
        <v>3.4631491419999998</v>
      </c>
    </row>
    <row r="24" spans="1:9">
      <c r="A24" t="s">
        <v>22</v>
      </c>
      <c r="B24">
        <v>2.5129605800000001</v>
      </c>
      <c r="C24">
        <v>2.3466533100000002</v>
      </c>
      <c r="D24">
        <v>2.166630617</v>
      </c>
      <c r="E24">
        <v>2.1763865679999999</v>
      </c>
      <c r="F24">
        <v>2.8485521249999999</v>
      </c>
      <c r="G24">
        <v>3.122491991</v>
      </c>
      <c r="H24">
        <v>3.4095953300000001</v>
      </c>
      <c r="I24">
        <v>3.5079301209999998</v>
      </c>
    </row>
    <row r="25" spans="1:9">
      <c r="A25" t="s">
        <v>23</v>
      </c>
      <c r="B25">
        <v>2.7013616790000001</v>
      </c>
      <c r="C25">
        <v>2.3466533100000002</v>
      </c>
      <c r="D25">
        <v>2.166630617</v>
      </c>
      <c r="E25">
        <v>2.146871092</v>
      </c>
      <c r="F25">
        <v>2.8441743860000002</v>
      </c>
      <c r="G25">
        <v>3.0722705979999998</v>
      </c>
      <c r="H25">
        <v>3.3124634730000002</v>
      </c>
      <c r="I25">
        <v>3.3947785170000002</v>
      </c>
    </row>
    <row r="26" spans="1:9">
      <c r="A26" t="s">
        <v>24</v>
      </c>
      <c r="B26">
        <v>2.6387467720000002</v>
      </c>
      <c r="C26">
        <v>2.408593851</v>
      </c>
      <c r="D26">
        <v>2.2876899119999998</v>
      </c>
      <c r="E26">
        <v>2.0630132529999998</v>
      </c>
      <c r="F26">
        <v>2.97005907</v>
      </c>
      <c r="G26">
        <v>3.154557659</v>
      </c>
      <c r="H26">
        <v>3.3941857780000002</v>
      </c>
      <c r="I26">
        <v>3.4417166610000001</v>
      </c>
    </row>
    <row r="27" spans="1:9">
      <c r="A27" t="s">
        <v>25</v>
      </c>
      <c r="B27">
        <v>2.0736809260000002</v>
      </c>
      <c r="C27">
        <v>2.0389832989999999</v>
      </c>
      <c r="D27">
        <v>1.9282108309999999</v>
      </c>
      <c r="E27">
        <v>2.120931095</v>
      </c>
      <c r="F27">
        <v>2.824817956</v>
      </c>
      <c r="G27">
        <v>3.0179124759999998</v>
      </c>
      <c r="H27">
        <v>3.2496264149999998</v>
      </c>
      <c r="I27">
        <v>3.3544517979999999</v>
      </c>
    </row>
    <row r="28" spans="1:9">
      <c r="A28" t="s">
        <v>26</v>
      </c>
      <c r="B28">
        <v>1.9481046550000001</v>
      </c>
      <c r="C28">
        <v>1.792386472</v>
      </c>
      <c r="D28">
        <v>1.8082413829999999</v>
      </c>
      <c r="E28">
        <v>2.0653805059999999</v>
      </c>
      <c r="F28">
        <v>2.5729997500000001</v>
      </c>
      <c r="G28">
        <v>2.769629444</v>
      </c>
      <c r="H28">
        <v>3.0355033869999999</v>
      </c>
      <c r="I28">
        <v>3.106162136</v>
      </c>
    </row>
    <row r="29" spans="1:9">
      <c r="A29" t="s">
        <v>27</v>
      </c>
      <c r="B29">
        <v>2.0738977589999998</v>
      </c>
      <c r="C29">
        <v>2.0396134539999999</v>
      </c>
      <c r="D29">
        <v>1.9899679050000001</v>
      </c>
      <c r="E29">
        <v>2.2098174340000001</v>
      </c>
      <c r="F29">
        <v>2.7147409759999999</v>
      </c>
      <c r="G29">
        <v>2.8966754130000001</v>
      </c>
      <c r="H29">
        <v>3.094407924</v>
      </c>
      <c r="I29">
        <v>3.1893475769999999</v>
      </c>
    </row>
    <row r="30" spans="1:9">
      <c r="A30" t="s">
        <v>28</v>
      </c>
      <c r="B30">
        <v>2.1365755260000001</v>
      </c>
      <c r="C30">
        <v>1.977653704</v>
      </c>
      <c r="D30">
        <v>2.049343731</v>
      </c>
      <c r="E30">
        <v>2.1233655150000001</v>
      </c>
      <c r="F30">
        <v>2.6433060780000002</v>
      </c>
      <c r="G30">
        <v>2.855400725</v>
      </c>
      <c r="H30">
        <v>3.0568894050000002</v>
      </c>
      <c r="I30">
        <v>3.1291684869999998</v>
      </c>
    </row>
    <row r="31" spans="1:9">
      <c r="A31" t="s">
        <v>29</v>
      </c>
      <c r="B31">
        <v>2.3247925399999998</v>
      </c>
      <c r="C31">
        <v>2.2241748700000001</v>
      </c>
      <c r="D31">
        <v>2.1086657639999999</v>
      </c>
      <c r="E31">
        <v>2.2368675119999999</v>
      </c>
      <c r="F31">
        <v>2.6120514529999999</v>
      </c>
      <c r="G31">
        <v>2.8865590509999999</v>
      </c>
      <c r="H31">
        <v>3.0827827750000001</v>
      </c>
      <c r="I31">
        <v>3.1884783649999999</v>
      </c>
    </row>
    <row r="32" spans="1:9">
      <c r="A32" t="s">
        <v>30</v>
      </c>
      <c r="B32">
        <v>2.2621373089999999</v>
      </c>
      <c r="C32">
        <v>2.10093299</v>
      </c>
      <c r="D32">
        <v>2.049343731</v>
      </c>
      <c r="E32">
        <v>2.2507886259999998</v>
      </c>
      <c r="F32">
        <v>2.7294591989999999</v>
      </c>
      <c r="G32">
        <v>3.0068297849999999</v>
      </c>
      <c r="H32">
        <v>3.2391211960000001</v>
      </c>
      <c r="I32">
        <v>3.3089417320000001</v>
      </c>
    </row>
    <row r="33" spans="1:9">
      <c r="A33" t="s">
        <v>31</v>
      </c>
      <c r="B33">
        <v>2.2621373089999999</v>
      </c>
      <c r="C33">
        <v>2.10093299</v>
      </c>
      <c r="D33">
        <v>2.0487257099999998</v>
      </c>
      <c r="E33">
        <v>2.2639701460000001</v>
      </c>
      <c r="F33">
        <v>2.9122366949999998</v>
      </c>
      <c r="G33">
        <v>3.2418112579999998</v>
      </c>
      <c r="H33">
        <v>3.439507919</v>
      </c>
      <c r="I33">
        <v>3.5583416479999999</v>
      </c>
    </row>
    <row r="34" spans="1:9">
      <c r="A34" t="s">
        <v>32</v>
      </c>
      <c r="B34">
        <v>2.199242709</v>
      </c>
      <c r="C34">
        <v>2.0389832989999999</v>
      </c>
      <c r="D34">
        <v>1.9881689229999999</v>
      </c>
      <c r="E34">
        <v>2.2626732509999998</v>
      </c>
      <c r="F34">
        <v>2.967451697</v>
      </c>
      <c r="G34">
        <v>3.2505212719999999</v>
      </c>
      <c r="H34">
        <v>3.5129142899999999</v>
      </c>
      <c r="I34">
        <v>3.6570231849999999</v>
      </c>
    </row>
    <row r="35" spans="1:9">
      <c r="A35" t="s">
        <v>33</v>
      </c>
      <c r="B35">
        <v>2.4503284820000002</v>
      </c>
      <c r="C35">
        <v>2.2234872779999999</v>
      </c>
      <c r="D35">
        <v>2.166630617</v>
      </c>
      <c r="E35">
        <v>2.260083914</v>
      </c>
      <c r="F35">
        <v>2.846282424</v>
      </c>
      <c r="G35">
        <v>3.116673461</v>
      </c>
      <c r="H35">
        <v>3.4454926399999999</v>
      </c>
      <c r="I35">
        <v>3.582862526</v>
      </c>
    </row>
    <row r="36" spans="1:9">
      <c r="A36" t="s">
        <v>34</v>
      </c>
      <c r="B36">
        <v>2.5132230820000001</v>
      </c>
      <c r="C36">
        <v>2.2234872779999999</v>
      </c>
      <c r="D36">
        <v>2.2863135780000001</v>
      </c>
      <c r="E36">
        <v>2.3731687099999998</v>
      </c>
      <c r="F36">
        <v>2.6777897839999998</v>
      </c>
      <c r="G36">
        <v>2.9533597720000002</v>
      </c>
      <c r="H36">
        <v>3.1666082709999999</v>
      </c>
      <c r="I36">
        <v>3.3089729389999998</v>
      </c>
    </row>
    <row r="37" spans="1:9">
      <c r="A37" t="s">
        <v>35</v>
      </c>
      <c r="B37">
        <v>2.325035813</v>
      </c>
      <c r="C37">
        <v>2.162225179</v>
      </c>
      <c r="D37">
        <v>2.2876899119999998</v>
      </c>
      <c r="E37">
        <v>2.346206794</v>
      </c>
      <c r="F37">
        <v>2.7938048470000001</v>
      </c>
      <c r="G37">
        <v>3.0513609719999999</v>
      </c>
      <c r="H37">
        <v>3.2206592989999998</v>
      </c>
      <c r="I37">
        <v>3.3244091689999999</v>
      </c>
    </row>
    <row r="38" spans="1:9">
      <c r="A38" t="s">
        <v>36</v>
      </c>
      <c r="B38">
        <v>2.3247925399999998</v>
      </c>
      <c r="C38">
        <v>2.2241748700000001</v>
      </c>
      <c r="D38">
        <v>2.4671878490000001</v>
      </c>
      <c r="E38">
        <v>2.2857071489999998</v>
      </c>
      <c r="F38">
        <v>2.7130676070000002</v>
      </c>
      <c r="G38">
        <v>3.0062231490000002</v>
      </c>
      <c r="H38">
        <v>3.238745105</v>
      </c>
      <c r="I38">
        <v>3.3404614490000002</v>
      </c>
    </row>
    <row r="39" spans="1:9">
      <c r="A39" t="s">
        <v>37</v>
      </c>
      <c r="B39">
        <v>2.4503284820000002</v>
      </c>
      <c r="C39">
        <v>2.0377242720000002</v>
      </c>
      <c r="D39">
        <v>2.224473991</v>
      </c>
      <c r="E39">
        <v>2.256211001</v>
      </c>
      <c r="F39">
        <v>2.7939628359999999</v>
      </c>
      <c r="G39">
        <v>3.1199616639999999</v>
      </c>
      <c r="H39">
        <v>3.2920979209999999</v>
      </c>
      <c r="I39">
        <v>3.399434603</v>
      </c>
    </row>
    <row r="40" spans="1:9">
      <c r="A40" t="s">
        <v>38</v>
      </c>
      <c r="B40">
        <v>2.3245483259999999</v>
      </c>
      <c r="C40">
        <v>2.0996354990000001</v>
      </c>
      <c r="D40">
        <v>2.2849388849999999</v>
      </c>
      <c r="E40">
        <v>2.2575004970000001</v>
      </c>
      <c r="F40">
        <v>2.7099073539999998</v>
      </c>
      <c r="G40">
        <v>3.0424266919999998</v>
      </c>
      <c r="H40">
        <v>3.2728933919999998</v>
      </c>
      <c r="I40">
        <v>3.3569891040000002</v>
      </c>
    </row>
    <row r="41" spans="1:9">
      <c r="A41" t="s">
        <v>39</v>
      </c>
      <c r="B41">
        <v>2.3243058689999998</v>
      </c>
      <c r="C41">
        <v>2.0989882529999999</v>
      </c>
      <c r="D41">
        <v>2.224473991</v>
      </c>
      <c r="E41">
        <v>2.1997165230000002</v>
      </c>
      <c r="F41">
        <v>2.7269848680000002</v>
      </c>
      <c r="G41">
        <v>3.0383221800000002</v>
      </c>
      <c r="H41">
        <v>3.2840192149999998</v>
      </c>
      <c r="I41">
        <v>3.390084275</v>
      </c>
    </row>
    <row r="42" spans="1:9">
      <c r="A42" t="s">
        <v>40</v>
      </c>
      <c r="B42">
        <v>2.3245483259999999</v>
      </c>
      <c r="C42">
        <v>2.2847228390000001</v>
      </c>
      <c r="D42">
        <v>2.165326887</v>
      </c>
      <c r="E42">
        <v>2.3435245309999999</v>
      </c>
      <c r="F42">
        <v>2.819789246</v>
      </c>
      <c r="G42">
        <v>3.0869237919999999</v>
      </c>
      <c r="H42">
        <v>3.2559719880000002</v>
      </c>
      <c r="I42">
        <v>3.3599815159999999</v>
      </c>
    </row>
    <row r="43" spans="1:9">
      <c r="A43" t="s">
        <v>41</v>
      </c>
      <c r="B43">
        <v>2.3245483259999999</v>
      </c>
      <c r="C43">
        <v>2.2847228390000001</v>
      </c>
      <c r="D43">
        <v>2.2258110489999998</v>
      </c>
      <c r="E43">
        <v>2.3435245309999999</v>
      </c>
      <c r="F43">
        <v>2.744507601</v>
      </c>
      <c r="G43">
        <v>3.0382693490000001</v>
      </c>
      <c r="H43">
        <v>3.2275884449999999</v>
      </c>
      <c r="I43">
        <v>3.3254635019999998</v>
      </c>
    </row>
    <row r="44" spans="1:9">
      <c r="A44" t="s">
        <v>42</v>
      </c>
      <c r="B44">
        <v>2.3245483259999999</v>
      </c>
      <c r="C44">
        <v>2.2847228390000001</v>
      </c>
      <c r="D44">
        <v>2.3461285539999999</v>
      </c>
      <c r="E44">
        <v>2.4296631880000001</v>
      </c>
      <c r="F44">
        <v>2.730953483</v>
      </c>
      <c r="G44">
        <v>3.0115726180000002</v>
      </c>
      <c r="H44">
        <v>3.2762062620000001</v>
      </c>
      <c r="I44">
        <v>3.4006344359999998</v>
      </c>
    </row>
    <row r="45" spans="1:9">
      <c r="A45" t="s">
        <v>43</v>
      </c>
      <c r="B45">
        <v>1.759439894</v>
      </c>
      <c r="C45">
        <v>2.0383541670000001</v>
      </c>
      <c r="D45">
        <v>2.166630617</v>
      </c>
      <c r="E45">
        <v>2.346206794</v>
      </c>
      <c r="F45">
        <v>2.567102217</v>
      </c>
      <c r="G45">
        <v>2.8391766089999999</v>
      </c>
      <c r="H45">
        <v>3.1167401909999999</v>
      </c>
      <c r="I45">
        <v>3.223921877</v>
      </c>
    </row>
    <row r="46" spans="1:9">
      <c r="A46" t="s">
        <v>44</v>
      </c>
      <c r="B46">
        <v>2.0105779479999999</v>
      </c>
      <c r="C46">
        <v>1.9151122869999999</v>
      </c>
      <c r="D46">
        <v>2.0468766089999999</v>
      </c>
      <c r="E46">
        <v>2.1185022509999998</v>
      </c>
      <c r="F46">
        <v>2.5847136499999999</v>
      </c>
      <c r="G46">
        <v>2.8573392580000001</v>
      </c>
      <c r="H46">
        <v>3.099976383</v>
      </c>
      <c r="I46">
        <v>3.2178210059999999</v>
      </c>
    </row>
    <row r="47" spans="1:9">
      <c r="A47" t="s">
        <v>45</v>
      </c>
      <c r="B47">
        <v>2.1361277780000001</v>
      </c>
      <c r="C47">
        <v>2.0383541670000001</v>
      </c>
      <c r="D47">
        <v>1.806607098</v>
      </c>
      <c r="E47">
        <v>2.1751407450000002</v>
      </c>
      <c r="F47">
        <v>2.6949123620000002</v>
      </c>
      <c r="G47">
        <v>2.9664804739999999</v>
      </c>
      <c r="H47">
        <v>3.2087803519999998</v>
      </c>
      <c r="I47">
        <v>3.3207714039999998</v>
      </c>
    </row>
    <row r="48" spans="1:9">
      <c r="A48" t="s">
        <v>46</v>
      </c>
      <c r="B48">
        <v>2.0105779479999999</v>
      </c>
      <c r="C48">
        <v>1.914521632</v>
      </c>
      <c r="D48">
        <v>1.986374079</v>
      </c>
      <c r="E48">
        <v>2.0902165799999999</v>
      </c>
      <c r="F48">
        <v>2.5678023790000002</v>
      </c>
      <c r="G48">
        <v>2.855343714</v>
      </c>
      <c r="H48">
        <v>3.162116938</v>
      </c>
      <c r="I48">
        <v>3.277514617</v>
      </c>
    </row>
    <row r="49" spans="1:9">
      <c r="A49" t="s">
        <v>47</v>
      </c>
      <c r="B49">
        <v>1.9476964059999999</v>
      </c>
      <c r="C49">
        <v>1.8526195809999999</v>
      </c>
      <c r="D49">
        <v>1.986374079</v>
      </c>
      <c r="E49">
        <v>2.0051289360000002</v>
      </c>
      <c r="F49">
        <v>2.4783097559999998</v>
      </c>
      <c r="G49">
        <v>2.7609504660000002</v>
      </c>
      <c r="H49">
        <v>3.1054392210000001</v>
      </c>
      <c r="I49">
        <v>3.2088918569999998</v>
      </c>
    </row>
    <row r="50" spans="1:9">
      <c r="A50" t="s">
        <v>48</v>
      </c>
      <c r="B50">
        <v>1.9476964059999999</v>
      </c>
      <c r="C50">
        <v>1.7912797519999999</v>
      </c>
      <c r="D50">
        <v>1.8665471520000001</v>
      </c>
      <c r="E50">
        <v>1.891626939</v>
      </c>
      <c r="F50">
        <v>2.3337220589999998</v>
      </c>
      <c r="G50">
        <v>2.586871715</v>
      </c>
      <c r="H50">
        <v>2.910977511</v>
      </c>
      <c r="I50">
        <v>2.9996762129999999</v>
      </c>
    </row>
    <row r="51" spans="1:9">
      <c r="A51" t="s">
        <v>49</v>
      </c>
      <c r="B51">
        <v>1.822134623</v>
      </c>
      <c r="C51">
        <v>1.729377701</v>
      </c>
      <c r="D51">
        <v>1.7466490059999999</v>
      </c>
      <c r="E51">
        <v>1.891626939</v>
      </c>
      <c r="F51">
        <v>2.3759483119999998</v>
      </c>
      <c r="G51">
        <v>2.6081282410000002</v>
      </c>
      <c r="H51">
        <v>2.9275562800000001</v>
      </c>
      <c r="I51">
        <v>3.0385063290000001</v>
      </c>
    </row>
    <row r="52" spans="1:9">
      <c r="A52" t="s">
        <v>50</v>
      </c>
      <c r="B52">
        <v>1.6965583529999999</v>
      </c>
      <c r="C52">
        <v>1.5442055450000001</v>
      </c>
      <c r="D52">
        <v>1.5661953959999999</v>
      </c>
      <c r="E52">
        <v>1.6917629759999999</v>
      </c>
      <c r="F52">
        <v>2.2206939860000001</v>
      </c>
      <c r="G52">
        <v>2.497352292</v>
      </c>
      <c r="H52">
        <v>2.8152052900000002</v>
      </c>
      <c r="I52">
        <v>2.9423824230000002</v>
      </c>
    </row>
    <row r="53" spans="1:9">
      <c r="A53" t="s">
        <v>51</v>
      </c>
      <c r="B53">
        <v>1.4453683150000001</v>
      </c>
      <c r="C53">
        <v>1.420888004</v>
      </c>
      <c r="D53">
        <v>1.446152766</v>
      </c>
      <c r="E53">
        <v>1.5201530459999999</v>
      </c>
      <c r="F53">
        <v>2.1681541709999999</v>
      </c>
      <c r="G53">
        <v>2.437831911</v>
      </c>
      <c r="H53">
        <v>2.7118265479999999</v>
      </c>
      <c r="I53">
        <v>2.8509627260000001</v>
      </c>
    </row>
    <row r="54" spans="1:9">
      <c r="A54" t="s">
        <v>52</v>
      </c>
      <c r="B54">
        <v>2.0734625530000002</v>
      </c>
      <c r="C54">
        <v>1.975822221</v>
      </c>
      <c r="D54">
        <v>1.8665471520000001</v>
      </c>
      <c r="E54">
        <v>1.8348275940000001</v>
      </c>
      <c r="F54">
        <v>2.2754617420000001</v>
      </c>
      <c r="G54">
        <v>2.5439776549999999</v>
      </c>
      <c r="H54">
        <v>2.8361305090000002</v>
      </c>
      <c r="I54">
        <v>2.9421923809999999</v>
      </c>
    </row>
    <row r="55" spans="1:9">
      <c r="A55" t="s">
        <v>53</v>
      </c>
      <c r="B55">
        <v>2.5755815229999999</v>
      </c>
      <c r="C55">
        <v>2.0989882529999999</v>
      </c>
      <c r="D55">
        <v>2.0462600809999998</v>
      </c>
      <c r="E55">
        <v>1.920060206</v>
      </c>
      <c r="F55">
        <v>2.446066058</v>
      </c>
      <c r="G55">
        <v>2.67801497</v>
      </c>
      <c r="H55">
        <v>2.8685633419999998</v>
      </c>
      <c r="I55">
        <v>3.0175866309999999</v>
      </c>
    </row>
    <row r="56" spans="1:9">
      <c r="A56" t="s">
        <v>54</v>
      </c>
      <c r="B56">
        <v>3.0146052920000002</v>
      </c>
      <c r="C56">
        <v>2.652354259</v>
      </c>
      <c r="D56">
        <v>2.2849388849999999</v>
      </c>
      <c r="E56">
        <v>2.1172899140000001</v>
      </c>
      <c r="F56">
        <v>2.5137103010000001</v>
      </c>
      <c r="G56">
        <v>2.6677886260000001</v>
      </c>
      <c r="H56">
        <v>2.8995120939999999</v>
      </c>
      <c r="I56">
        <v>3.0091276429999998</v>
      </c>
    </row>
    <row r="57" spans="1:9">
      <c r="A57" t="s">
        <v>55</v>
      </c>
      <c r="B57">
        <v>3.0762024970000001</v>
      </c>
      <c r="C57">
        <v>2.6515361720000001</v>
      </c>
      <c r="D57">
        <v>2.283565871</v>
      </c>
      <c r="E57">
        <v>2.3421856989999998</v>
      </c>
      <c r="F57">
        <v>2.5461707680000001</v>
      </c>
      <c r="G57">
        <v>2.7087665479999998</v>
      </c>
      <c r="H57">
        <v>2.9103519279999999</v>
      </c>
      <c r="I57">
        <v>3.0221461289999998</v>
      </c>
    </row>
    <row r="58" spans="1:9">
      <c r="A58" t="s">
        <v>56</v>
      </c>
      <c r="B58">
        <v>2.699947936</v>
      </c>
      <c r="C58">
        <v>2.5904714879999999</v>
      </c>
      <c r="D58">
        <v>2.4634818780000001</v>
      </c>
      <c r="E58">
        <v>2.4000030809999999</v>
      </c>
      <c r="F58">
        <v>2.529476555</v>
      </c>
      <c r="G58">
        <v>2.6983149700000002</v>
      </c>
      <c r="H58">
        <v>2.8947810409999999</v>
      </c>
      <c r="I58">
        <v>3.007118755</v>
      </c>
    </row>
    <row r="59" spans="1:9">
      <c r="A59" t="s">
        <v>57</v>
      </c>
      <c r="B59">
        <v>3.1390643460000001</v>
      </c>
      <c r="C59">
        <v>2.5904714879999999</v>
      </c>
      <c r="D59">
        <v>2.5828788299999998</v>
      </c>
      <c r="E59">
        <v>2.3986323679999999</v>
      </c>
      <c r="F59">
        <v>2.6191713110000001</v>
      </c>
      <c r="G59">
        <v>2.8167155039999998</v>
      </c>
      <c r="H59">
        <v>2.910343568</v>
      </c>
      <c r="I59">
        <v>3.030655629</v>
      </c>
    </row>
    <row r="60" spans="1:9">
      <c r="A60" t="s">
        <v>58</v>
      </c>
      <c r="B60">
        <v>2.9500253000000001</v>
      </c>
      <c r="C60">
        <v>2.4659743010000001</v>
      </c>
      <c r="D60">
        <v>2.6401726710000002</v>
      </c>
      <c r="E60">
        <v>2.7632310800000002</v>
      </c>
      <c r="F60">
        <v>2.6890133700000001</v>
      </c>
      <c r="G60">
        <v>2.9318701900000002</v>
      </c>
      <c r="H60">
        <v>3.0423845479999998</v>
      </c>
      <c r="I60">
        <v>3.1469217029999998</v>
      </c>
    </row>
    <row r="61" spans="1:9">
      <c r="A61" t="s">
        <v>59</v>
      </c>
      <c r="B61">
        <v>2.699947936</v>
      </c>
      <c r="C61">
        <v>2.6515361720000001</v>
      </c>
      <c r="D61">
        <v>2.6417576970000001</v>
      </c>
      <c r="E61">
        <v>2.5382065279999999</v>
      </c>
      <c r="F61">
        <v>2.6278809189999999</v>
      </c>
      <c r="G61">
        <v>2.8978496859999998</v>
      </c>
      <c r="H61">
        <v>3.0483650629999999</v>
      </c>
      <c r="I61">
        <v>3.1609874570000001</v>
      </c>
    </row>
    <row r="62" spans="1:9">
      <c r="A62" t="s">
        <v>60</v>
      </c>
      <c r="B62">
        <v>2.3864373570000001</v>
      </c>
      <c r="C62">
        <v>2.2826080900000001</v>
      </c>
      <c r="D62">
        <v>2.283565871</v>
      </c>
      <c r="E62">
        <v>2.3421856989999998</v>
      </c>
      <c r="F62">
        <v>2.46219622</v>
      </c>
      <c r="G62">
        <v>2.6216433989999999</v>
      </c>
      <c r="H62">
        <v>2.8167236089999999</v>
      </c>
      <c r="I62">
        <v>2.9295174410000002</v>
      </c>
    </row>
    <row r="63" spans="1:9">
      <c r="A63" t="s">
        <v>61</v>
      </c>
      <c r="B63">
        <v>2.3866871970000001</v>
      </c>
      <c r="C63">
        <v>2.2221158449999998</v>
      </c>
      <c r="D63">
        <v>2.2258110489999998</v>
      </c>
      <c r="E63">
        <v>2.4055016359999999</v>
      </c>
      <c r="F63">
        <v>2.7023126290000001</v>
      </c>
      <c r="G63">
        <v>2.8785568580000001</v>
      </c>
      <c r="H63">
        <v>3.071176726</v>
      </c>
      <c r="I63">
        <v>3.1718656140000001</v>
      </c>
    </row>
    <row r="64" spans="1:9">
      <c r="A64" t="s">
        <v>62</v>
      </c>
      <c r="B64">
        <v>2.1983220559999999</v>
      </c>
      <c r="C64">
        <v>2.284017897</v>
      </c>
      <c r="D64">
        <v>2.4679296609999999</v>
      </c>
      <c r="E64">
        <v>2.3502408269999999</v>
      </c>
      <c r="F64">
        <v>2.7358945920000002</v>
      </c>
      <c r="G64">
        <v>3.0304486069999998</v>
      </c>
      <c r="H64">
        <v>3.183021251</v>
      </c>
      <c r="I64">
        <v>3.2659838319999999</v>
      </c>
    </row>
    <row r="65" spans="1:9">
      <c r="A65" t="s">
        <v>63</v>
      </c>
      <c r="B65">
        <v>2.3235755079999998</v>
      </c>
      <c r="C65">
        <v>2.0364666269999998</v>
      </c>
      <c r="D65">
        <v>2.165326887</v>
      </c>
      <c r="E65">
        <v>2.2343044110000001</v>
      </c>
      <c r="F65">
        <v>2.7219149090000001</v>
      </c>
      <c r="G65">
        <v>3.0000039790000002</v>
      </c>
      <c r="H65">
        <v>3.1835732939999999</v>
      </c>
      <c r="I65">
        <v>3.282164189</v>
      </c>
    </row>
    <row r="66" spans="1:9">
      <c r="A66" t="s">
        <v>64</v>
      </c>
      <c r="B66">
        <v>2.5116449030000001</v>
      </c>
      <c r="C66">
        <v>2.2207446219999998</v>
      </c>
      <c r="D66">
        <v>2.2238047220000001</v>
      </c>
      <c r="E66">
        <v>2.2317480700000001</v>
      </c>
      <c r="F66">
        <v>2.6332910209999998</v>
      </c>
      <c r="G66">
        <v>2.9124939429999999</v>
      </c>
      <c r="H66">
        <v>3.1068519989999999</v>
      </c>
      <c r="I66">
        <v>3.2058015919999998</v>
      </c>
    </row>
    <row r="67" spans="1:9">
      <c r="A67" t="s">
        <v>65</v>
      </c>
      <c r="B67">
        <v>2.3235755079999998</v>
      </c>
      <c r="C67">
        <v>2.2826080900000001</v>
      </c>
      <c r="D67">
        <v>2.224473991</v>
      </c>
      <c r="E67">
        <v>2.2896323870000002</v>
      </c>
      <c r="F67">
        <v>2.5929530230000002</v>
      </c>
      <c r="G67">
        <v>2.9487441329999999</v>
      </c>
      <c r="H67">
        <v>3.1847323049999998</v>
      </c>
      <c r="I67">
        <v>3.2645269780000001</v>
      </c>
    </row>
    <row r="68" spans="1:9">
      <c r="A68" t="s">
        <v>66</v>
      </c>
      <c r="B68">
        <v>2.4490460299999999</v>
      </c>
      <c r="C68">
        <v>2.2826080900000001</v>
      </c>
      <c r="D68">
        <v>2.283565871</v>
      </c>
      <c r="E68">
        <v>2.2317480700000001</v>
      </c>
      <c r="F68">
        <v>2.5903594660000002</v>
      </c>
      <c r="G68">
        <v>2.9302079600000002</v>
      </c>
      <c r="H68">
        <v>3.1290477120000002</v>
      </c>
      <c r="I68">
        <v>3.227087515</v>
      </c>
    </row>
    <row r="69" spans="1:9">
      <c r="A69" t="s">
        <v>67</v>
      </c>
      <c r="B69">
        <v>2.3235755079999998</v>
      </c>
      <c r="C69">
        <v>2.0364666269999998</v>
      </c>
      <c r="D69">
        <v>1.924731572</v>
      </c>
      <c r="E69">
        <v>2.1185022509999998</v>
      </c>
      <c r="F69">
        <v>2.5028322809999999</v>
      </c>
      <c r="G69">
        <v>2.842417282</v>
      </c>
      <c r="H69">
        <v>3.0514091940000001</v>
      </c>
      <c r="I69">
        <v>3.1490708949999999</v>
      </c>
    </row>
    <row r="70" spans="1:9">
      <c r="A70" t="s">
        <v>68</v>
      </c>
      <c r="B70">
        <v>2.3861873770000002</v>
      </c>
      <c r="C70">
        <v>2.0976922670000002</v>
      </c>
      <c r="D70">
        <v>2.1640265310000002</v>
      </c>
      <c r="E70">
        <v>2.173897239</v>
      </c>
      <c r="F70">
        <v>2.4936807189999999</v>
      </c>
      <c r="G70">
        <v>2.8544285679999999</v>
      </c>
      <c r="H70">
        <v>3.0372860579999998</v>
      </c>
      <c r="I70">
        <v>3.1358486559999998</v>
      </c>
    </row>
    <row r="71" spans="1:9">
      <c r="A71" t="s">
        <v>69</v>
      </c>
      <c r="B71">
        <v>2.4490460299999999</v>
      </c>
      <c r="C71">
        <v>2.1595557350000001</v>
      </c>
      <c r="D71">
        <v>2.224473991</v>
      </c>
      <c r="E71">
        <v>2.2317480700000001</v>
      </c>
      <c r="F71">
        <v>2.5565976770000001</v>
      </c>
      <c r="G71">
        <v>2.9317066930000002</v>
      </c>
      <c r="H71">
        <v>3.1192072739999999</v>
      </c>
      <c r="I71">
        <v>3.2168034510000001</v>
      </c>
    </row>
    <row r="72" spans="1:9">
      <c r="A72" t="s">
        <v>70</v>
      </c>
      <c r="B72">
        <v>2.323331939</v>
      </c>
      <c r="C72">
        <v>2.1588903610000001</v>
      </c>
      <c r="D72">
        <v>2.162725945</v>
      </c>
      <c r="E72">
        <v>2.2844017249999999</v>
      </c>
      <c r="F72">
        <v>2.6201511380000002</v>
      </c>
      <c r="G72">
        <v>3.0499518540000001</v>
      </c>
      <c r="H72">
        <v>3.2987289610000001</v>
      </c>
      <c r="I72">
        <v>3.4159506980000001</v>
      </c>
    </row>
    <row r="73" spans="1:9">
      <c r="A73" t="s">
        <v>71</v>
      </c>
      <c r="B73">
        <v>2.2604797350000001</v>
      </c>
      <c r="C73">
        <v>2.2200599969999999</v>
      </c>
      <c r="D73">
        <v>2.1620766840000001</v>
      </c>
      <c r="E73">
        <v>2.1112489640000001</v>
      </c>
      <c r="F73">
        <v>2.6033390320000001</v>
      </c>
      <c r="G73">
        <v>2.9803810080000002</v>
      </c>
      <c r="H73">
        <v>3.2032063480000001</v>
      </c>
      <c r="I73">
        <v>3.342285349</v>
      </c>
    </row>
    <row r="74" spans="1:9">
      <c r="A74" t="s">
        <v>72</v>
      </c>
      <c r="B74">
        <v>2.323331939</v>
      </c>
      <c r="C74">
        <v>2.2819041379999998</v>
      </c>
      <c r="D74">
        <v>2.2821944919999999</v>
      </c>
      <c r="E74">
        <v>2.168932941</v>
      </c>
      <c r="F74">
        <v>2.566803546</v>
      </c>
      <c r="G74">
        <v>2.9251798999999998</v>
      </c>
      <c r="H74">
        <v>3.1744341290000002</v>
      </c>
      <c r="I74">
        <v>3.324817307</v>
      </c>
    </row>
    <row r="75" spans="1:9">
      <c r="A75" t="s">
        <v>73</v>
      </c>
      <c r="B75">
        <v>2.323331939</v>
      </c>
      <c r="C75">
        <v>2.2819041379999998</v>
      </c>
      <c r="D75">
        <v>2.2224691729999999</v>
      </c>
      <c r="E75">
        <v>2.3381774530000001</v>
      </c>
      <c r="F75">
        <v>2.8092083900000002</v>
      </c>
      <c r="G75">
        <v>2.9971957050000002</v>
      </c>
      <c r="H75">
        <v>3.2287694870000001</v>
      </c>
      <c r="I75">
        <v>3.3703445630000002</v>
      </c>
    </row>
    <row r="76" spans="1:9">
      <c r="A76" t="s">
        <v>74</v>
      </c>
      <c r="B76">
        <v>2.3861873770000002</v>
      </c>
      <c r="C76">
        <v>2.3437584</v>
      </c>
      <c r="D76">
        <v>2.3426052940000002</v>
      </c>
      <c r="E76">
        <v>2.3986323679999999</v>
      </c>
      <c r="F76">
        <v>2.775908834</v>
      </c>
      <c r="G76">
        <v>2.975337605</v>
      </c>
      <c r="H76">
        <v>3.1714077289999998</v>
      </c>
      <c r="I76">
        <v>3.3042916990000002</v>
      </c>
    </row>
    <row r="77" spans="1:9">
      <c r="A77" t="s">
        <v>75</v>
      </c>
      <c r="B77">
        <v>2.1978614169999999</v>
      </c>
      <c r="C77">
        <v>2.1588903610000001</v>
      </c>
      <c r="D77">
        <v>2.162725945</v>
      </c>
      <c r="E77">
        <v>2.2844017249999999</v>
      </c>
      <c r="F77">
        <v>2.7957589500000002</v>
      </c>
      <c r="G77">
        <v>2.9825426689999999</v>
      </c>
      <c r="H77">
        <v>3.1937068769999999</v>
      </c>
      <c r="I77">
        <v>3.3093257970000001</v>
      </c>
    </row>
    <row r="78" spans="1:9">
      <c r="A78" t="s">
        <v>76</v>
      </c>
      <c r="B78">
        <v>2.2604797350000001</v>
      </c>
      <c r="C78">
        <v>2.2200599969999999</v>
      </c>
      <c r="D78">
        <v>2.2218020030000001</v>
      </c>
      <c r="E78">
        <v>2.2817944360000002</v>
      </c>
      <c r="F78">
        <v>2.73096914</v>
      </c>
      <c r="G78">
        <v>2.883605819</v>
      </c>
      <c r="H78">
        <v>3.0997648130000002</v>
      </c>
      <c r="I78">
        <v>3.211232232</v>
      </c>
    </row>
    <row r="79" spans="1:9">
      <c r="A79" t="s">
        <v>77</v>
      </c>
      <c r="B79">
        <v>2.1976316890000001</v>
      </c>
      <c r="C79">
        <v>2.1582250740000002</v>
      </c>
      <c r="D79">
        <v>2.1614269070000001</v>
      </c>
      <c r="E79">
        <v>2.2241104589999998</v>
      </c>
      <c r="F79">
        <v>2.667118624</v>
      </c>
      <c r="G79">
        <v>2.839919584</v>
      </c>
      <c r="H79">
        <v>3.0185882159999999</v>
      </c>
      <c r="I79">
        <v>3.1361562790000002</v>
      </c>
    </row>
    <row r="80" spans="1:9">
      <c r="A80" t="s">
        <v>78</v>
      </c>
      <c r="B80">
        <v>2.135009213</v>
      </c>
      <c r="C80">
        <v>2.0352112959999999</v>
      </c>
      <c r="D80">
        <v>2.0419583590000001</v>
      </c>
      <c r="E80">
        <v>2.2804934760000002</v>
      </c>
      <c r="F80">
        <v>2.6398801079999998</v>
      </c>
      <c r="G80">
        <v>2.809111014</v>
      </c>
      <c r="H80">
        <v>3.026502282</v>
      </c>
      <c r="I80">
        <v>3.1645219020000002</v>
      </c>
    </row>
    <row r="81" spans="1:9">
      <c r="A81" t="s">
        <v>79</v>
      </c>
      <c r="B81">
        <v>2.323331939</v>
      </c>
      <c r="C81">
        <v>2.2200599969999999</v>
      </c>
      <c r="D81">
        <v>2.2218020030000001</v>
      </c>
      <c r="E81">
        <v>2.3381774530000001</v>
      </c>
      <c r="F81">
        <v>2.6946278540000002</v>
      </c>
      <c r="G81">
        <v>2.8042273899999999</v>
      </c>
      <c r="H81">
        <v>3.017438168</v>
      </c>
      <c r="I81">
        <v>3.1616357370000001</v>
      </c>
    </row>
    <row r="82" spans="1:9">
      <c r="A82" t="s">
        <v>80</v>
      </c>
      <c r="B82">
        <v>2.3861873770000002</v>
      </c>
      <c r="C82">
        <v>2.2819041379999998</v>
      </c>
      <c r="D82">
        <v>2.2821944919999999</v>
      </c>
      <c r="E82">
        <v>2.5085654750000002</v>
      </c>
      <c r="F82">
        <v>2.7466167559999999</v>
      </c>
      <c r="G82">
        <v>2.8835129350000002</v>
      </c>
      <c r="H82">
        <v>3.0553336240000002</v>
      </c>
      <c r="I82">
        <v>3.1688830729999999</v>
      </c>
    </row>
    <row r="83" spans="1:9">
      <c r="A83" t="s">
        <v>81</v>
      </c>
      <c r="B83">
        <v>2.4487894649999999</v>
      </c>
      <c r="C83">
        <v>2.5278184420000001</v>
      </c>
      <c r="D83">
        <v>2.5209177710000001</v>
      </c>
      <c r="E83">
        <v>2.9019163940000001</v>
      </c>
      <c r="F83">
        <v>3.1463091159999999</v>
      </c>
      <c r="G83">
        <v>3.1780065679999998</v>
      </c>
      <c r="H83">
        <v>3.2629070050000002</v>
      </c>
      <c r="I83">
        <v>3.4244224860000001</v>
      </c>
    </row>
    <row r="84" spans="1:9">
      <c r="A84" t="s">
        <v>82</v>
      </c>
      <c r="B84">
        <v>3.3266255130000002</v>
      </c>
      <c r="C84">
        <v>3.2646555319999999</v>
      </c>
      <c r="D84">
        <v>3.1164814839999999</v>
      </c>
      <c r="E84">
        <v>3.1819379290000001</v>
      </c>
      <c r="F84">
        <v>3.4963299970000001</v>
      </c>
      <c r="G84">
        <v>3.4818780079999998</v>
      </c>
      <c r="H84">
        <v>3.5416425500000002</v>
      </c>
      <c r="I84">
        <v>3.651942252</v>
      </c>
    </row>
    <row r="85" spans="1:9">
      <c r="A85" t="s">
        <v>83</v>
      </c>
      <c r="B85">
        <v>4.3290802340000001</v>
      </c>
      <c r="C85">
        <v>3.6325664419999999</v>
      </c>
      <c r="D85">
        <v>3.532323796</v>
      </c>
      <c r="E85">
        <v>3.1819379290000001</v>
      </c>
      <c r="F85">
        <v>3.6368096489999999</v>
      </c>
      <c r="G85">
        <v>3.6088930769999998</v>
      </c>
      <c r="H85">
        <v>3.731419754</v>
      </c>
      <c r="I85">
        <v>3.7831994130000002</v>
      </c>
    </row>
    <row r="86" spans="1:9">
      <c r="A86" t="s">
        <v>84</v>
      </c>
      <c r="B86">
        <v>4.5167101509999998</v>
      </c>
      <c r="C86">
        <v>3.5707222999999999</v>
      </c>
      <c r="D86">
        <v>3.4125778750000002</v>
      </c>
      <c r="E86">
        <v>3.3476739819999999</v>
      </c>
      <c r="F86">
        <v>3.3458336279999998</v>
      </c>
      <c r="G86">
        <v>3.4726275599999998</v>
      </c>
      <c r="H86">
        <v>3.589921693</v>
      </c>
      <c r="I86">
        <v>3.6366577850000001</v>
      </c>
    </row>
    <row r="87" spans="1:9">
      <c r="A87" t="s">
        <v>85</v>
      </c>
      <c r="B87">
        <v>4.0156923679999998</v>
      </c>
      <c r="C87">
        <v>3.4481226340000002</v>
      </c>
      <c r="D87">
        <v>3.2938188159999999</v>
      </c>
      <c r="E87">
        <v>3.1801308179999999</v>
      </c>
      <c r="F87">
        <v>3.5406149779999998</v>
      </c>
      <c r="G87">
        <v>3.5647111389999999</v>
      </c>
      <c r="H87">
        <v>3.7394936680000002</v>
      </c>
      <c r="I87">
        <v>3.8574166839999999</v>
      </c>
    </row>
    <row r="88" spans="1:9">
      <c r="A88" t="s">
        <v>86</v>
      </c>
      <c r="B88">
        <v>5.3935536720000004</v>
      </c>
      <c r="C88">
        <v>4.7342712130000004</v>
      </c>
      <c r="D88">
        <v>4.4795852580000002</v>
      </c>
      <c r="E88">
        <v>3.9085570280000002</v>
      </c>
      <c r="F88">
        <v>3.707287746</v>
      </c>
      <c r="G88">
        <v>3.6685201749999998</v>
      </c>
      <c r="H88">
        <v>3.6919502359999998</v>
      </c>
      <c r="I88">
        <v>3.8420694530000001</v>
      </c>
    </row>
    <row r="89" spans="1:9">
      <c r="A89" t="s">
        <v>87</v>
      </c>
      <c r="B89">
        <v>5.0175194679999997</v>
      </c>
      <c r="C89">
        <v>4.6113006060000004</v>
      </c>
      <c r="D89">
        <v>4.3010297910000004</v>
      </c>
      <c r="E89">
        <v>4.1258526670000002</v>
      </c>
      <c r="F89">
        <v>4.0524081040000004</v>
      </c>
      <c r="G89">
        <v>3.9507100839999998</v>
      </c>
      <c r="H89">
        <v>3.8889122399999998</v>
      </c>
      <c r="I89">
        <v>4.0359107859999996</v>
      </c>
    </row>
    <row r="90" spans="1:9">
      <c r="A90" t="s">
        <v>88</v>
      </c>
      <c r="B90">
        <v>7.7061949719999996</v>
      </c>
      <c r="C90">
        <v>6.9883317439999999</v>
      </c>
      <c r="D90">
        <v>6.473893554</v>
      </c>
      <c r="E90">
        <v>5.6065906129999998</v>
      </c>
      <c r="F90">
        <v>5.1786949189999998</v>
      </c>
      <c r="G90">
        <v>4.9222916019999996</v>
      </c>
      <c r="H90">
        <v>4.4522453090000003</v>
      </c>
      <c r="I90">
        <v>4.3947004850000004</v>
      </c>
    </row>
    <row r="91" spans="1:9">
      <c r="A91" t="s">
        <v>89</v>
      </c>
      <c r="B91">
        <v>6.9565461749999997</v>
      </c>
      <c r="C91">
        <v>5.6491795290000004</v>
      </c>
      <c r="D91">
        <v>5.3016138829999999</v>
      </c>
      <c r="E91">
        <v>5.0598674429999999</v>
      </c>
      <c r="F91">
        <v>4.8527751090000004</v>
      </c>
      <c r="G91">
        <v>4.7103470779999999</v>
      </c>
      <c r="H91">
        <v>4.5676040499999999</v>
      </c>
      <c r="I91">
        <v>4.4831100639999999</v>
      </c>
    </row>
    <row r="92" spans="1:9">
      <c r="A92" t="s">
        <v>90</v>
      </c>
      <c r="B92">
        <v>4.2662280289999996</v>
      </c>
      <c r="C92">
        <v>3.9989084269999999</v>
      </c>
      <c r="D92">
        <v>3.825391406</v>
      </c>
      <c r="E92">
        <v>4.0105179680000003</v>
      </c>
      <c r="F92">
        <v>3.8778532810000002</v>
      </c>
      <c r="G92">
        <v>3.9124229069999998</v>
      </c>
      <c r="H92">
        <v>4.0500199490000002</v>
      </c>
      <c r="I92">
        <v>4.0521281230000001</v>
      </c>
    </row>
    <row r="93" spans="1:9">
      <c r="A93" t="s">
        <v>91</v>
      </c>
      <c r="B93">
        <v>4.7671410239999998</v>
      </c>
      <c r="C93">
        <v>4.6105921480000003</v>
      </c>
      <c r="D93">
        <v>4.3588176729999999</v>
      </c>
      <c r="E93">
        <v>4.3998285920000004</v>
      </c>
      <c r="F93">
        <v>4.2030792039999998</v>
      </c>
      <c r="G93">
        <v>4.0642091039999997</v>
      </c>
      <c r="H93">
        <v>4.1117465639999997</v>
      </c>
      <c r="I93">
        <v>4.1721233900000003</v>
      </c>
    </row>
    <row r="94" spans="1:9">
      <c r="A94" t="s">
        <v>92</v>
      </c>
      <c r="B94">
        <v>5.3929893809999996</v>
      </c>
      <c r="C94">
        <v>5.0992659979999999</v>
      </c>
      <c r="D94">
        <v>4.9485862000000003</v>
      </c>
      <c r="E94">
        <v>4.8403376160000002</v>
      </c>
      <c r="F94">
        <v>4.5033851719999998</v>
      </c>
      <c r="G94">
        <v>4.3034249999999998</v>
      </c>
      <c r="H94">
        <v>4.1104512399999997</v>
      </c>
      <c r="I94">
        <v>4.1815643380000003</v>
      </c>
    </row>
    <row r="95" spans="1:9">
      <c r="A95" t="s">
        <v>93</v>
      </c>
      <c r="B95">
        <v>6.2686279919999999</v>
      </c>
      <c r="C95">
        <v>5.7092707499999999</v>
      </c>
      <c r="D95">
        <v>5.5366200560000003</v>
      </c>
      <c r="E95">
        <v>5.3882599009999996</v>
      </c>
      <c r="F95">
        <v>4.9776775669999997</v>
      </c>
      <c r="G95">
        <v>4.6811176650000004</v>
      </c>
      <c r="H95">
        <v>4.3863296700000003</v>
      </c>
      <c r="I95">
        <v>4.3455005680000003</v>
      </c>
    </row>
    <row r="96" spans="1:9">
      <c r="A96" t="s">
        <v>94</v>
      </c>
      <c r="B96">
        <v>7.330663639</v>
      </c>
      <c r="C96">
        <v>6.2565210310000001</v>
      </c>
      <c r="D96">
        <v>6.062575227</v>
      </c>
      <c r="E96">
        <v>5.6610988899999999</v>
      </c>
      <c r="F96">
        <v>5.1165231179999999</v>
      </c>
      <c r="G96">
        <v>4.7941369250000001</v>
      </c>
      <c r="H96">
        <v>4.5558006710000001</v>
      </c>
      <c r="I96">
        <v>4.5256986350000004</v>
      </c>
    </row>
    <row r="97" spans="1:9">
      <c r="A97" t="s">
        <v>95</v>
      </c>
      <c r="B97">
        <v>13.06501972</v>
      </c>
      <c r="C97">
        <v>8.8690967769999993</v>
      </c>
      <c r="D97">
        <v>7.178234615</v>
      </c>
      <c r="E97">
        <v>6.1606797010000003</v>
      </c>
      <c r="F97">
        <v>5.1916916860000004</v>
      </c>
      <c r="G97">
        <v>4.8606006839999996</v>
      </c>
      <c r="H97">
        <v>4.7241478480000003</v>
      </c>
      <c r="I97">
        <v>4.7655093580000001</v>
      </c>
    </row>
    <row r="98" spans="1:9">
      <c r="A98" t="s">
        <v>96</v>
      </c>
      <c r="B98">
        <v>15.684875590000001</v>
      </c>
      <c r="C98">
        <v>9.6119787639999998</v>
      </c>
      <c r="D98">
        <v>8.8450517830000006</v>
      </c>
      <c r="E98">
        <v>7.0270107900000003</v>
      </c>
      <c r="F98">
        <v>5.992754336</v>
      </c>
      <c r="G98">
        <v>5.4963212849999996</v>
      </c>
      <c r="H98">
        <v>5.4746053760000004</v>
      </c>
      <c r="I98">
        <v>5.4365879860000001</v>
      </c>
    </row>
    <row r="99" spans="1:9">
      <c r="A99" t="s">
        <v>97</v>
      </c>
      <c r="B99">
        <v>9.9658529680000001</v>
      </c>
      <c r="C99">
        <v>8.2916256750000006</v>
      </c>
      <c r="D99">
        <v>7.342652041</v>
      </c>
      <c r="E99">
        <v>5.7415761129999998</v>
      </c>
      <c r="F99">
        <v>5.2561941719999998</v>
      </c>
      <c r="G99">
        <v>5.068373909</v>
      </c>
      <c r="H99">
        <v>5.0702645559999997</v>
      </c>
      <c r="I99">
        <v>5.0664267870000002</v>
      </c>
    </row>
    <row r="100" spans="1:9">
      <c r="A100" t="s">
        <v>98</v>
      </c>
      <c r="B100">
        <v>8.5837784189999997</v>
      </c>
      <c r="C100">
        <v>7.790667526</v>
      </c>
      <c r="D100">
        <v>7.2038789059999999</v>
      </c>
      <c r="E100">
        <v>5.7738301549999997</v>
      </c>
      <c r="F100">
        <v>5.7064941129999998</v>
      </c>
      <c r="G100">
        <v>5.4828207469999999</v>
      </c>
      <c r="H100">
        <v>5.3419526409999998</v>
      </c>
      <c r="I100">
        <v>5.279225662</v>
      </c>
    </row>
    <row r="101" spans="1:9">
      <c r="A101" t="s">
        <v>99</v>
      </c>
      <c r="B101">
        <v>9.1479204260000007</v>
      </c>
      <c r="C101">
        <v>7.6142142740000001</v>
      </c>
      <c r="D101">
        <v>7.455396081</v>
      </c>
      <c r="E101">
        <v>6.7387204049999996</v>
      </c>
      <c r="F101">
        <v>6.6059729709999999</v>
      </c>
      <c r="G101">
        <v>6.6331970519999999</v>
      </c>
      <c r="H101">
        <v>6.2715277919999997</v>
      </c>
      <c r="I101">
        <v>6.183325902</v>
      </c>
    </row>
    <row r="102" spans="1:9">
      <c r="A102" t="s">
        <v>100</v>
      </c>
      <c r="B102">
        <v>6.5849854260000003</v>
      </c>
      <c r="C102">
        <v>6.3319422369999998</v>
      </c>
      <c r="D102">
        <v>6.5125784080000004</v>
      </c>
      <c r="E102">
        <v>6.0725043110000003</v>
      </c>
      <c r="F102">
        <v>6.1744299659999999</v>
      </c>
      <c r="G102">
        <v>6.1762834809999996</v>
      </c>
      <c r="H102">
        <v>5.9002369940000001</v>
      </c>
      <c r="I102">
        <v>5.8660358659999998</v>
      </c>
    </row>
    <row r="103" spans="1:9">
      <c r="A103" t="s">
        <v>101</v>
      </c>
      <c r="B103">
        <v>5.7737713319999999</v>
      </c>
      <c r="C103">
        <v>5.726849906</v>
      </c>
      <c r="D103">
        <v>5.8163421089999998</v>
      </c>
      <c r="E103">
        <v>5.6567689559999996</v>
      </c>
      <c r="F103">
        <v>6.0173233589999997</v>
      </c>
      <c r="G103">
        <v>5.9234071840000002</v>
      </c>
      <c r="H103">
        <v>5.8291401699999996</v>
      </c>
      <c r="I103">
        <v>5.7872664169999997</v>
      </c>
    </row>
    <row r="104" spans="1:9">
      <c r="A104" t="s">
        <v>102</v>
      </c>
      <c r="B104">
        <v>5.7725639419999997</v>
      </c>
      <c r="C104">
        <v>5.5408273650000002</v>
      </c>
      <c r="D104">
        <v>5.2213446069999998</v>
      </c>
      <c r="E104">
        <v>5.2641256099999998</v>
      </c>
      <c r="F104">
        <v>5.0127018559999996</v>
      </c>
      <c r="G104">
        <v>5.0615221520000002</v>
      </c>
      <c r="H104">
        <v>5.0552844800000001</v>
      </c>
      <c r="I104">
        <v>5.0579768889999999</v>
      </c>
    </row>
    <row r="105" spans="1:9">
      <c r="A105" t="s">
        <v>103</v>
      </c>
      <c r="B105">
        <v>5.7719606690000003</v>
      </c>
      <c r="C105">
        <v>5.477153199</v>
      </c>
      <c r="D105">
        <v>4.9782696030000002</v>
      </c>
      <c r="E105">
        <v>4.9764865049999996</v>
      </c>
      <c r="F105">
        <v>4.9216045460000002</v>
      </c>
      <c r="G105">
        <v>4.892199057</v>
      </c>
      <c r="H105">
        <v>4.8448075389999996</v>
      </c>
      <c r="I105">
        <v>4.838433599</v>
      </c>
    </row>
    <row r="106" spans="1:9">
      <c r="A106" t="s">
        <v>104</v>
      </c>
      <c r="B106">
        <v>5.5844738170000001</v>
      </c>
      <c r="C106">
        <v>5.416860368</v>
      </c>
      <c r="D106">
        <v>5.0997700339999996</v>
      </c>
      <c r="E106">
        <v>4.9234876099999996</v>
      </c>
      <c r="F106">
        <v>4.8939001749999997</v>
      </c>
      <c r="G106">
        <v>4.7934013640000002</v>
      </c>
      <c r="H106">
        <v>4.7527980230000004</v>
      </c>
      <c r="I106">
        <v>4.7586362250000001</v>
      </c>
    </row>
    <row r="107" spans="1:9">
      <c r="A107" t="s">
        <v>105</v>
      </c>
      <c r="B107">
        <v>4.4571243999999997</v>
      </c>
      <c r="C107">
        <v>4.7430204250000001</v>
      </c>
      <c r="D107">
        <v>4.7411737030000003</v>
      </c>
      <c r="E107">
        <v>4.8061913010000001</v>
      </c>
      <c r="F107">
        <v>4.8100216339999999</v>
      </c>
      <c r="G107">
        <v>4.7152573530000002</v>
      </c>
      <c r="H107">
        <v>4.5960350740000004</v>
      </c>
      <c r="I107">
        <v>4.6035012350000004</v>
      </c>
    </row>
    <row r="108" spans="1:9">
      <c r="A108" t="s">
        <v>106</v>
      </c>
      <c r="B108">
        <v>5.2722544850000004</v>
      </c>
      <c r="C108">
        <v>5.9075008789999996</v>
      </c>
      <c r="D108">
        <v>4.923451687</v>
      </c>
      <c r="E108">
        <v>5.2641256099999998</v>
      </c>
      <c r="F108">
        <v>5.2684281410000002</v>
      </c>
      <c r="G108">
        <v>5.0877217850000003</v>
      </c>
      <c r="H108">
        <v>4.9323748859999998</v>
      </c>
      <c r="I108">
        <v>4.9426955780000004</v>
      </c>
    </row>
    <row r="109" spans="1:9">
      <c r="A109" t="s">
        <v>107</v>
      </c>
      <c r="B109">
        <v>5.2077186659999999</v>
      </c>
      <c r="C109">
        <v>5.1102548920000004</v>
      </c>
      <c r="D109">
        <v>5.0936572570000003</v>
      </c>
      <c r="E109">
        <v>5.1935054989999996</v>
      </c>
      <c r="F109">
        <v>5.2528774560000002</v>
      </c>
      <c r="G109">
        <v>5.2259723810000001</v>
      </c>
      <c r="H109">
        <v>5.0276893319999996</v>
      </c>
      <c r="I109">
        <v>5.037773627</v>
      </c>
    </row>
    <row r="110" spans="1:9">
      <c r="A110" t="s">
        <v>108</v>
      </c>
      <c r="B110">
        <v>5.0830286009999996</v>
      </c>
      <c r="C110">
        <v>5.1102548920000004</v>
      </c>
      <c r="D110">
        <v>5.2150845539999997</v>
      </c>
      <c r="E110">
        <v>5.1994416269999997</v>
      </c>
      <c r="F110">
        <v>5.3764125470000002</v>
      </c>
      <c r="G110">
        <v>5.3372678840000001</v>
      </c>
      <c r="H110">
        <v>5.2713199120000001</v>
      </c>
      <c r="I110">
        <v>5.2866850909999998</v>
      </c>
    </row>
    <row r="111" spans="1:9">
      <c r="A111" t="s">
        <v>109</v>
      </c>
      <c r="B111">
        <v>4.3928537219999999</v>
      </c>
      <c r="C111">
        <v>4.5571704420000003</v>
      </c>
      <c r="D111">
        <v>4.7383296250000004</v>
      </c>
      <c r="E111">
        <v>5.08221407</v>
      </c>
      <c r="F111">
        <v>5.2848040029999996</v>
      </c>
      <c r="G111">
        <v>5.2902426199999999</v>
      </c>
      <c r="H111">
        <v>5.2601298549999997</v>
      </c>
      <c r="I111">
        <v>5.2618096669999996</v>
      </c>
    </row>
    <row r="112" spans="1:9">
      <c r="A112" t="s">
        <v>110</v>
      </c>
      <c r="B112">
        <v>4.5200189999999996</v>
      </c>
      <c r="C112">
        <v>4.6233824099999996</v>
      </c>
      <c r="D112">
        <v>4.8655957399999998</v>
      </c>
      <c r="E112">
        <v>4.8172184050000002</v>
      </c>
      <c r="F112">
        <v>5.2126643020000003</v>
      </c>
      <c r="G112">
        <v>5.2337514880000002</v>
      </c>
      <c r="H112">
        <v>5.1897794729999998</v>
      </c>
      <c r="I112">
        <v>5.1680804279999997</v>
      </c>
    </row>
    <row r="113" spans="1:9">
      <c r="A113" t="s">
        <v>111</v>
      </c>
      <c r="B113">
        <v>4.1444338309999997</v>
      </c>
      <c r="C113">
        <v>4.3174787099999996</v>
      </c>
      <c r="D113">
        <v>4.5700269200000001</v>
      </c>
      <c r="E113">
        <v>4.929132589</v>
      </c>
      <c r="F113">
        <v>5.2205027929999996</v>
      </c>
      <c r="G113">
        <v>5.2391609839999997</v>
      </c>
      <c r="H113">
        <v>5.1441164300000004</v>
      </c>
      <c r="I113">
        <v>5.113179014</v>
      </c>
    </row>
    <row r="114" spans="1:9">
      <c r="A114" t="s">
        <v>112</v>
      </c>
      <c r="B114">
        <v>4.4580577410000002</v>
      </c>
      <c r="C114">
        <v>4.5021702030000004</v>
      </c>
      <c r="D114">
        <v>4.8105772939999998</v>
      </c>
      <c r="E114">
        <v>4.9964960700000001</v>
      </c>
      <c r="F114">
        <v>5.2963573549999996</v>
      </c>
      <c r="G114">
        <v>5.359075625</v>
      </c>
      <c r="H114">
        <v>5.3468072869999999</v>
      </c>
      <c r="I114">
        <v>5.3462467020000002</v>
      </c>
    </row>
    <row r="115" spans="1:9">
      <c r="A115" t="s">
        <v>113</v>
      </c>
      <c r="B115">
        <v>4.1448674460000001</v>
      </c>
      <c r="C115">
        <v>4.1973564049999998</v>
      </c>
      <c r="D115">
        <v>4.3955637999999997</v>
      </c>
      <c r="E115">
        <v>4.6035867269999997</v>
      </c>
      <c r="F115">
        <v>5.1065588660000003</v>
      </c>
      <c r="G115">
        <v>5.1759235910000001</v>
      </c>
      <c r="H115">
        <v>5.1408366970000001</v>
      </c>
      <c r="I115">
        <v>5.139750813</v>
      </c>
    </row>
    <row r="116" spans="1:9">
      <c r="A116" t="s">
        <v>114</v>
      </c>
      <c r="B116">
        <v>3.6432207980000002</v>
      </c>
      <c r="C116">
        <v>3.8287678920000001</v>
      </c>
      <c r="D116">
        <v>4.0987959439999999</v>
      </c>
      <c r="E116">
        <v>4.380896269</v>
      </c>
      <c r="F116">
        <v>4.8144444540000002</v>
      </c>
      <c r="G116">
        <v>4.9094101610000003</v>
      </c>
      <c r="H116">
        <v>4.9057626330000002</v>
      </c>
      <c r="I116">
        <v>4.9035747409999999</v>
      </c>
    </row>
    <row r="117" spans="1:9">
      <c r="A117" t="s">
        <v>115</v>
      </c>
      <c r="B117">
        <v>3.20410817</v>
      </c>
      <c r="C117">
        <v>3.3362724610000001</v>
      </c>
      <c r="D117">
        <v>3.6198295620000001</v>
      </c>
      <c r="E117">
        <v>4.093776385</v>
      </c>
      <c r="F117">
        <v>4.4115416630000004</v>
      </c>
      <c r="G117">
        <v>4.5990935009999996</v>
      </c>
      <c r="H117">
        <v>4.5946283189999999</v>
      </c>
      <c r="I117">
        <v>4.5865877490000004</v>
      </c>
    </row>
    <row r="118" spans="1:9">
      <c r="A118" t="s">
        <v>116</v>
      </c>
      <c r="B118">
        <v>3.3924967669999999</v>
      </c>
      <c r="C118">
        <v>3.5224387660000001</v>
      </c>
      <c r="D118">
        <v>3.8025515009999999</v>
      </c>
      <c r="E118">
        <v>4.1622528079999999</v>
      </c>
      <c r="F118">
        <v>4.3332495179999997</v>
      </c>
      <c r="G118">
        <v>4.4429133260000002</v>
      </c>
      <c r="H118">
        <v>4.5264323949999996</v>
      </c>
      <c r="I118">
        <v>4.5336743999999998</v>
      </c>
    </row>
    <row r="119" spans="1:9">
      <c r="A119" t="s">
        <v>117</v>
      </c>
      <c r="B119">
        <v>2.450970001</v>
      </c>
      <c r="C119">
        <v>2.6593256809999999</v>
      </c>
      <c r="D119">
        <v>2.963765381</v>
      </c>
      <c r="E119">
        <v>3.4214519440000002</v>
      </c>
      <c r="F119">
        <v>4.1096349879999998</v>
      </c>
      <c r="G119">
        <v>4.3057541549999998</v>
      </c>
      <c r="H119">
        <v>4.4897616779999998</v>
      </c>
      <c r="I119">
        <v>4.5579464520000004</v>
      </c>
    </row>
    <row r="120" spans="1:9">
      <c r="A120" t="s">
        <v>118</v>
      </c>
      <c r="B120">
        <v>2.8275981200000002</v>
      </c>
      <c r="C120">
        <v>2.7825853760000001</v>
      </c>
      <c r="D120">
        <v>3.0228826930000001</v>
      </c>
      <c r="E120">
        <v>3.5333585759999999</v>
      </c>
      <c r="F120">
        <v>4.0653230520000001</v>
      </c>
      <c r="G120">
        <v>4.3201625909999999</v>
      </c>
      <c r="H120">
        <v>4.4244385609999997</v>
      </c>
      <c r="I120">
        <v>4.5473091339999998</v>
      </c>
    </row>
    <row r="121" spans="1:9">
      <c r="A121" t="s">
        <v>119</v>
      </c>
      <c r="B121">
        <v>3.078617988</v>
      </c>
      <c r="C121">
        <v>3.2141951600000001</v>
      </c>
      <c r="D121">
        <v>3.3236756060000001</v>
      </c>
      <c r="E121">
        <v>3.8787390020000001</v>
      </c>
      <c r="F121">
        <v>4.307198445</v>
      </c>
      <c r="G121">
        <v>4.4790739390000001</v>
      </c>
      <c r="H121">
        <v>4.5707061160000002</v>
      </c>
      <c r="I121">
        <v>4.6560494529999996</v>
      </c>
    </row>
    <row r="122" spans="1:9">
      <c r="A122" t="s">
        <v>120</v>
      </c>
      <c r="B122">
        <v>2.639714068</v>
      </c>
      <c r="C122">
        <v>2.9697009240000001</v>
      </c>
      <c r="D122">
        <v>3.3276985460000001</v>
      </c>
      <c r="E122">
        <v>3.5436235960000002</v>
      </c>
      <c r="F122">
        <v>4.2391503070000001</v>
      </c>
      <c r="G122">
        <v>4.3670098900000003</v>
      </c>
      <c r="H122">
        <v>4.4899478239999997</v>
      </c>
      <c r="I122">
        <v>4.572880198</v>
      </c>
    </row>
    <row r="123" spans="1:9">
      <c r="A123" t="s">
        <v>121</v>
      </c>
      <c r="B123">
        <v>3.0794241379999998</v>
      </c>
      <c r="C123">
        <v>3.3409168419999999</v>
      </c>
      <c r="D123">
        <v>3.6307808669999999</v>
      </c>
      <c r="E123">
        <v>3.7233473080000001</v>
      </c>
      <c r="F123">
        <v>4.3231305759999996</v>
      </c>
      <c r="G123">
        <v>4.4471612929999997</v>
      </c>
      <c r="H123">
        <v>4.3710354279999999</v>
      </c>
      <c r="I123">
        <v>4.4261674820000003</v>
      </c>
    </row>
    <row r="124" spans="1:9">
      <c r="A124" t="s">
        <v>122</v>
      </c>
      <c r="B124">
        <v>2.765704811</v>
      </c>
      <c r="C124">
        <v>3.2186714959999998</v>
      </c>
      <c r="D124">
        <v>3.3928238070000001</v>
      </c>
      <c r="E124">
        <v>3.7848415929999999</v>
      </c>
      <c r="F124">
        <v>4.1702601359999996</v>
      </c>
      <c r="G124">
        <v>4.2872459020000004</v>
      </c>
      <c r="H124">
        <v>4.2809549379999998</v>
      </c>
      <c r="I124">
        <v>4.3314997479999997</v>
      </c>
    </row>
    <row r="125" spans="1:9">
      <c r="A125" t="s">
        <v>123</v>
      </c>
      <c r="B125">
        <v>2.765125093</v>
      </c>
      <c r="C125">
        <v>3.2166808410000001</v>
      </c>
      <c r="D125">
        <v>3.5086875389999999</v>
      </c>
      <c r="E125">
        <v>3.8900003299999999</v>
      </c>
      <c r="F125">
        <v>4.4884304740000003</v>
      </c>
      <c r="G125">
        <v>4.6020814870000004</v>
      </c>
      <c r="H125">
        <v>4.5879842340000003</v>
      </c>
      <c r="I125">
        <v>4.590345385</v>
      </c>
    </row>
    <row r="126" spans="1:9">
      <c r="A126" t="s">
        <v>124</v>
      </c>
      <c r="B126">
        <v>3.2678760570000001</v>
      </c>
      <c r="C126">
        <v>3.5251629950000001</v>
      </c>
      <c r="D126">
        <v>3.929203931</v>
      </c>
      <c r="E126">
        <v>4.4604167639999996</v>
      </c>
      <c r="F126">
        <v>4.7755555799999998</v>
      </c>
      <c r="G126">
        <v>4.854291291</v>
      </c>
      <c r="H126">
        <v>4.8317929270000004</v>
      </c>
      <c r="I126">
        <v>4.7454618999999996</v>
      </c>
    </row>
    <row r="127" spans="1:9">
      <c r="A127" t="s">
        <v>125</v>
      </c>
      <c r="B127">
        <v>3.770230733</v>
      </c>
      <c r="C127">
        <v>3.956554568</v>
      </c>
      <c r="D127">
        <v>4.2295549069999998</v>
      </c>
      <c r="E127">
        <v>4.6894933129999998</v>
      </c>
      <c r="F127">
        <v>4.6619794910000003</v>
      </c>
      <c r="G127">
        <v>4.6769806129999996</v>
      </c>
      <c r="H127">
        <v>4.6604527750000004</v>
      </c>
      <c r="I127">
        <v>4.5657051109999998</v>
      </c>
    </row>
    <row r="128" spans="1:9">
      <c r="A128" t="s">
        <v>126</v>
      </c>
      <c r="B128">
        <v>2.9541976249999999</v>
      </c>
      <c r="C128">
        <v>3.2176749619999998</v>
      </c>
      <c r="D128">
        <v>3.5708047239999998</v>
      </c>
      <c r="E128">
        <v>4.0654065690000003</v>
      </c>
      <c r="F128">
        <v>4.4499552759999998</v>
      </c>
      <c r="G128">
        <v>4.4771780630000002</v>
      </c>
      <c r="H128">
        <v>4.4762509350000004</v>
      </c>
      <c r="I128">
        <v>4.4016770489999999</v>
      </c>
    </row>
    <row r="129" spans="1:9">
      <c r="A129" t="s">
        <v>127</v>
      </c>
      <c r="B129">
        <v>3.016973932</v>
      </c>
      <c r="C129">
        <v>3.279300133</v>
      </c>
      <c r="D129">
        <v>3.6307808669999999</v>
      </c>
      <c r="E129">
        <v>3.9515167710000001</v>
      </c>
      <c r="F129">
        <v>4.2687415179999997</v>
      </c>
      <c r="G129">
        <v>4.3211460539999997</v>
      </c>
      <c r="H129">
        <v>4.3352011829999997</v>
      </c>
      <c r="I129">
        <v>4.3044351829999998</v>
      </c>
    </row>
    <row r="130" spans="1:9">
      <c r="A130" t="s">
        <v>128</v>
      </c>
      <c r="B130">
        <v>3.0808766319999998</v>
      </c>
      <c r="C130">
        <v>3.1579949369999998</v>
      </c>
      <c r="D130">
        <v>3.3928238070000001</v>
      </c>
      <c r="E130">
        <v>3.6683585060000001</v>
      </c>
      <c r="F130">
        <v>4.0206930190000003</v>
      </c>
      <c r="G130">
        <v>4.037534248</v>
      </c>
      <c r="H130">
        <v>4.094820007</v>
      </c>
      <c r="I130">
        <v>4.0467550030000004</v>
      </c>
    </row>
    <row r="131" spans="1:9">
      <c r="A131" t="s">
        <v>129</v>
      </c>
      <c r="B131">
        <v>3.3323774670000001</v>
      </c>
      <c r="C131">
        <v>3.4062104780000002</v>
      </c>
      <c r="D131">
        <v>3.6362832329999999</v>
      </c>
      <c r="E131">
        <v>3.8442034430000001</v>
      </c>
      <c r="F131">
        <v>4.1483412460000002</v>
      </c>
      <c r="G131">
        <v>4.1457251460000002</v>
      </c>
      <c r="H131">
        <v>4.1781607259999998</v>
      </c>
      <c r="I131">
        <v>4.1860693449999999</v>
      </c>
    </row>
    <row r="132" spans="1:9">
      <c r="A132" t="s">
        <v>130</v>
      </c>
      <c r="B132">
        <v>3.3327263899999999</v>
      </c>
      <c r="C132">
        <v>3.4077934769999998</v>
      </c>
      <c r="D132">
        <v>3.5783849490000001</v>
      </c>
      <c r="E132">
        <v>3.734209968</v>
      </c>
      <c r="F132">
        <v>4.0877892329999996</v>
      </c>
      <c r="G132">
        <v>4.0944525470000004</v>
      </c>
      <c r="H132">
        <v>4.0114036479999999</v>
      </c>
      <c r="I132">
        <v>4.0053463989999996</v>
      </c>
    </row>
    <row r="133" spans="1:9">
      <c r="A133" t="s">
        <v>131</v>
      </c>
      <c r="B133">
        <v>2.8299693750000001</v>
      </c>
      <c r="C133">
        <v>2.9752217299999999</v>
      </c>
      <c r="D133">
        <v>3.1562059850000002</v>
      </c>
      <c r="E133">
        <v>3.388011664</v>
      </c>
      <c r="F133">
        <v>3.7706011340000001</v>
      </c>
      <c r="G133">
        <v>3.7869290699999998</v>
      </c>
      <c r="H133">
        <v>3.7355812730000002</v>
      </c>
      <c r="I133">
        <v>3.7283555110000002</v>
      </c>
    </row>
    <row r="134" spans="1:9">
      <c r="A134" t="s">
        <v>132</v>
      </c>
      <c r="B134">
        <v>2.7667195480000002</v>
      </c>
      <c r="C134">
        <v>2.9743001910000002</v>
      </c>
      <c r="D134">
        <v>3.1542913430000001</v>
      </c>
      <c r="E134">
        <v>3.2673450769999999</v>
      </c>
      <c r="F134">
        <v>3.7038084919999998</v>
      </c>
      <c r="G134">
        <v>3.739275364</v>
      </c>
      <c r="H134">
        <v>3.7488247760000002</v>
      </c>
      <c r="I134">
        <v>3.733557351</v>
      </c>
    </row>
    <row r="135" spans="1:9">
      <c r="A135" t="s">
        <v>133</v>
      </c>
      <c r="B135">
        <v>2.5781461960000001</v>
      </c>
      <c r="C135">
        <v>2.7877574150000002</v>
      </c>
      <c r="D135">
        <v>3.0320481880000001</v>
      </c>
      <c r="E135">
        <v>3.3227928150000001</v>
      </c>
      <c r="F135">
        <v>3.589382155</v>
      </c>
      <c r="G135">
        <v>3.6376533310000001</v>
      </c>
      <c r="H135">
        <v>3.684743305</v>
      </c>
      <c r="I135">
        <v>3.681074819</v>
      </c>
    </row>
    <row r="136" spans="1:9">
      <c r="A136" t="s">
        <v>134</v>
      </c>
      <c r="B136">
        <v>2.5784168470000002</v>
      </c>
      <c r="C136">
        <v>2.7886213049999999</v>
      </c>
      <c r="D136">
        <v>2.9727568249999998</v>
      </c>
      <c r="E136">
        <v>3.2673450769999999</v>
      </c>
      <c r="F136">
        <v>3.450855996</v>
      </c>
      <c r="G136">
        <v>3.525261687</v>
      </c>
      <c r="H136">
        <v>3.5878347939999999</v>
      </c>
      <c r="I136">
        <v>3.5889657210000001</v>
      </c>
    </row>
    <row r="137" spans="1:9">
      <c r="A137" t="s">
        <v>135</v>
      </c>
      <c r="B137">
        <v>2.1384797290000002</v>
      </c>
      <c r="C137">
        <v>2.3557454099999999</v>
      </c>
      <c r="D137">
        <v>2.6111107320000002</v>
      </c>
      <c r="E137">
        <v>2.9799197930000001</v>
      </c>
      <c r="F137">
        <v>3.1276473380000001</v>
      </c>
      <c r="G137">
        <v>3.2479841660000002</v>
      </c>
      <c r="H137">
        <v>3.2995552840000002</v>
      </c>
      <c r="I137">
        <v>3.3671399000000002</v>
      </c>
    </row>
    <row r="138" spans="1:9">
      <c r="A138" t="s">
        <v>136</v>
      </c>
      <c r="B138">
        <v>2.3275952000000002</v>
      </c>
      <c r="C138">
        <v>2.2327965519999999</v>
      </c>
      <c r="D138">
        <v>2.4322588629999999</v>
      </c>
      <c r="E138">
        <v>2.7526029620000001</v>
      </c>
      <c r="F138">
        <v>2.9314254599999998</v>
      </c>
      <c r="G138">
        <v>3.0209083799999998</v>
      </c>
      <c r="H138">
        <v>3.0947977990000002</v>
      </c>
      <c r="I138">
        <v>3.2115495479999998</v>
      </c>
    </row>
    <row r="139" spans="1:9">
      <c r="A139" t="s">
        <v>137</v>
      </c>
      <c r="B139">
        <v>2.2642716959999998</v>
      </c>
      <c r="C139">
        <v>2.1706063219999998</v>
      </c>
      <c r="D139">
        <v>2.3099406560000002</v>
      </c>
      <c r="E139">
        <v>2.7526029620000001</v>
      </c>
      <c r="F139">
        <v>2.889696378</v>
      </c>
      <c r="G139">
        <v>2.9852018199999999</v>
      </c>
      <c r="H139">
        <v>3.0177018360000001</v>
      </c>
      <c r="I139">
        <v>3.1632316559999998</v>
      </c>
    </row>
    <row r="140" spans="1:9">
      <c r="A140" t="s">
        <v>138</v>
      </c>
      <c r="B140">
        <v>1.761839121</v>
      </c>
      <c r="C140">
        <v>1.737964691</v>
      </c>
      <c r="D140">
        <v>1.948167623</v>
      </c>
      <c r="E140">
        <v>2.3487906569999999</v>
      </c>
      <c r="F140">
        <v>2.507345602</v>
      </c>
      <c r="G140">
        <v>2.6673725770000001</v>
      </c>
      <c r="H140">
        <v>2.8397714230000002</v>
      </c>
      <c r="I140">
        <v>3.0479278129999998</v>
      </c>
    </row>
    <row r="141" spans="1:9">
      <c r="A141" t="s">
        <v>139</v>
      </c>
      <c r="B141">
        <v>1.7620236739999999</v>
      </c>
      <c r="C141">
        <v>1.862394697</v>
      </c>
      <c r="D141">
        <v>2.009353967</v>
      </c>
      <c r="E141">
        <v>2.4096384870000001</v>
      </c>
      <c r="F141">
        <v>2.6604260829999999</v>
      </c>
      <c r="G141">
        <v>2.7739258279999999</v>
      </c>
      <c r="H141">
        <v>2.8727654399999998</v>
      </c>
      <c r="I141">
        <v>3.0770129220000002</v>
      </c>
    </row>
    <row r="142" spans="1:9">
      <c r="A142" t="s">
        <v>140</v>
      </c>
      <c r="B142">
        <v>2.328205369</v>
      </c>
      <c r="C142">
        <v>2.1729638360000001</v>
      </c>
      <c r="D142">
        <v>2.3141605940000001</v>
      </c>
      <c r="E142">
        <v>2.6447511769999998</v>
      </c>
      <c r="F142">
        <v>2.765653361</v>
      </c>
      <c r="G142">
        <v>2.855119459</v>
      </c>
      <c r="H142">
        <v>2.875434754</v>
      </c>
      <c r="I142">
        <v>2.9652581900000001</v>
      </c>
    </row>
    <row r="143" spans="1:9">
      <c r="A143" t="s">
        <v>141</v>
      </c>
      <c r="B143">
        <v>2.5800387389999999</v>
      </c>
      <c r="C143">
        <v>2.545474392</v>
      </c>
      <c r="D143">
        <v>2.436703574</v>
      </c>
      <c r="E143">
        <v>2.762310222</v>
      </c>
      <c r="F143">
        <v>2.7433074550000001</v>
      </c>
      <c r="G143">
        <v>2.7948440259999998</v>
      </c>
      <c r="H143">
        <v>2.7962895040000002</v>
      </c>
      <c r="I143">
        <v>2.892763972</v>
      </c>
    </row>
    <row r="144" spans="1:9">
      <c r="A144" t="s">
        <v>142</v>
      </c>
      <c r="B144">
        <v>2.580715638</v>
      </c>
      <c r="C144">
        <v>2.113339619</v>
      </c>
      <c r="D144">
        <v>2.1356876429999998</v>
      </c>
      <c r="E144">
        <v>2.3584863180000002</v>
      </c>
      <c r="F144">
        <v>2.4292260699999999</v>
      </c>
      <c r="G144">
        <v>2.4596090930000001</v>
      </c>
      <c r="H144">
        <v>2.4706553520000001</v>
      </c>
      <c r="I144">
        <v>2.5714677340000001</v>
      </c>
    </row>
    <row r="145" spans="1:9">
      <c r="A145" t="s">
        <v>143</v>
      </c>
      <c r="B145">
        <v>3.0206135449999998</v>
      </c>
      <c r="C145">
        <v>2.5474511799999999</v>
      </c>
      <c r="D145">
        <v>2.3183969109999998</v>
      </c>
      <c r="E145">
        <v>2.4181670159999999</v>
      </c>
      <c r="F145">
        <v>2.3133425500000002</v>
      </c>
      <c r="G145">
        <v>2.3159862599999999</v>
      </c>
      <c r="H145">
        <v>2.2974659150000001</v>
      </c>
      <c r="I145">
        <v>2.2899739779999999</v>
      </c>
    </row>
    <row r="146" spans="1:9">
      <c r="A146" t="s">
        <v>144</v>
      </c>
      <c r="B146">
        <v>2.7691854010000001</v>
      </c>
      <c r="C146">
        <v>2.6097876420000001</v>
      </c>
      <c r="D146">
        <v>2.3191043179999999</v>
      </c>
      <c r="E146">
        <v>2.2445214939999998</v>
      </c>
      <c r="F146">
        <v>2.3403802640000002</v>
      </c>
      <c r="G146">
        <v>2.4002410940000001</v>
      </c>
      <c r="H146">
        <v>2.3691121489999998</v>
      </c>
      <c r="I146">
        <v>2.3713041260000001</v>
      </c>
    </row>
    <row r="147" spans="1:9">
      <c r="A147" t="s">
        <v>145</v>
      </c>
      <c r="B147">
        <v>2.5177055130000001</v>
      </c>
      <c r="C147">
        <v>2.6097876420000001</v>
      </c>
      <c r="D147">
        <v>2.3804980659999999</v>
      </c>
      <c r="E147">
        <v>2.3626648220000002</v>
      </c>
      <c r="F147">
        <v>2.226327312</v>
      </c>
      <c r="G147">
        <v>2.2740427919999999</v>
      </c>
      <c r="H147">
        <v>2.234268079</v>
      </c>
      <c r="I147">
        <v>2.2161150369999998</v>
      </c>
    </row>
    <row r="148" spans="1:9">
      <c r="A148" t="s">
        <v>146</v>
      </c>
      <c r="B148">
        <v>2.5174417789999999</v>
      </c>
      <c r="C148">
        <v>2.670888492</v>
      </c>
      <c r="D148">
        <v>2.3797717459999999</v>
      </c>
      <c r="E148">
        <v>2.3029128019999998</v>
      </c>
      <c r="F148">
        <v>2.3098938100000002</v>
      </c>
      <c r="G148">
        <v>2.3210197290000001</v>
      </c>
      <c r="H148">
        <v>2.2600838419999998</v>
      </c>
      <c r="I148">
        <v>2.19821037</v>
      </c>
    </row>
    <row r="149" spans="1:9">
      <c r="A149" t="s">
        <v>147</v>
      </c>
      <c r="B149">
        <v>2.45469866</v>
      </c>
      <c r="C149">
        <v>2.423560948</v>
      </c>
      <c r="D149">
        <v>2.3797717459999999</v>
      </c>
      <c r="E149">
        <v>2.3029128019999998</v>
      </c>
      <c r="F149">
        <v>2.3972959409999999</v>
      </c>
      <c r="G149">
        <v>2.4377217099999999</v>
      </c>
      <c r="H149">
        <v>2.3812174179999999</v>
      </c>
      <c r="I149">
        <v>2.3295544559999999</v>
      </c>
    </row>
    <row r="150" spans="1:9">
      <c r="A150" t="s">
        <v>148</v>
      </c>
      <c r="B150">
        <v>2.2031654920000001</v>
      </c>
      <c r="C150">
        <v>2.2996323099999998</v>
      </c>
      <c r="D150">
        <v>2.4411654930000002</v>
      </c>
      <c r="E150">
        <v>2.3056358330000002</v>
      </c>
      <c r="F150">
        <v>2.4843561169999999</v>
      </c>
      <c r="G150">
        <v>2.5529581650000002</v>
      </c>
      <c r="H150">
        <v>2.5412883019999999</v>
      </c>
      <c r="I150">
        <v>2.466795549</v>
      </c>
    </row>
    <row r="151" spans="1:9">
      <c r="A151" t="s">
        <v>149</v>
      </c>
      <c r="B151">
        <v>2.0143757400000002</v>
      </c>
      <c r="C151">
        <v>2.2373066150000001</v>
      </c>
      <c r="D151">
        <v>2.4404207050000002</v>
      </c>
      <c r="E151">
        <v>2.5376353730000001</v>
      </c>
      <c r="F151">
        <v>2.4743076409999998</v>
      </c>
      <c r="G151">
        <v>2.536445638</v>
      </c>
      <c r="H151">
        <v>2.5320078320000001</v>
      </c>
      <c r="I151">
        <v>2.4693923340000001</v>
      </c>
    </row>
    <row r="152" spans="1:9">
      <c r="A152" t="s">
        <v>150</v>
      </c>
      <c r="B152">
        <v>1.8885766770000001</v>
      </c>
      <c r="C152">
        <v>2.0510228260000001</v>
      </c>
      <c r="D152">
        <v>2.2584184110000001</v>
      </c>
      <c r="E152">
        <v>2.4793461730000002</v>
      </c>
      <c r="F152">
        <v>2.4198490110000002</v>
      </c>
      <c r="G152">
        <v>2.4620981799999999</v>
      </c>
      <c r="H152">
        <v>2.4735534330000002</v>
      </c>
      <c r="I152">
        <v>2.4107371930000001</v>
      </c>
    </row>
    <row r="153" spans="1:9">
      <c r="A153" t="s">
        <v>151</v>
      </c>
      <c r="B153">
        <v>1.8885766770000001</v>
      </c>
      <c r="C153">
        <v>2.0510228260000001</v>
      </c>
      <c r="D153">
        <v>2.2584184110000001</v>
      </c>
      <c r="E153">
        <v>2.4793461730000002</v>
      </c>
      <c r="F153">
        <v>2.2955579510000002</v>
      </c>
      <c r="G153">
        <v>2.379416097</v>
      </c>
      <c r="H153">
        <v>2.4067377419999998</v>
      </c>
      <c r="I153">
        <v>2.355048129</v>
      </c>
    </row>
    <row r="154" spans="1:9">
      <c r="A154" t="s">
        <v>152</v>
      </c>
      <c r="B154">
        <v>2.140386152</v>
      </c>
      <c r="C154">
        <v>2.0510228260000001</v>
      </c>
      <c r="D154">
        <v>2.1369911140000002</v>
      </c>
      <c r="E154">
        <v>2.2458480889999999</v>
      </c>
      <c r="F154">
        <v>2.2812349219999999</v>
      </c>
      <c r="G154">
        <v>2.3523757949999999</v>
      </c>
      <c r="H154">
        <v>2.3264571589999998</v>
      </c>
      <c r="I154">
        <v>2.2422441119999998</v>
      </c>
    </row>
    <row r="155" spans="1:9">
      <c r="A155" t="s">
        <v>153</v>
      </c>
      <c r="B155">
        <v>2.0775972149999999</v>
      </c>
      <c r="C155">
        <v>2.0516600060000001</v>
      </c>
      <c r="D155">
        <v>2.1382971030000002</v>
      </c>
      <c r="E155">
        <v>2.365459344</v>
      </c>
      <c r="F155">
        <v>2.2308780000000001</v>
      </c>
      <c r="G155">
        <v>2.3389441020000001</v>
      </c>
      <c r="H155">
        <v>2.3599310180000002</v>
      </c>
      <c r="I155">
        <v>2.308130357</v>
      </c>
    </row>
    <row r="156" spans="1:9">
      <c r="A156" t="s">
        <v>154</v>
      </c>
      <c r="B156">
        <v>2.140835279</v>
      </c>
      <c r="C156">
        <v>2.1146534379999999</v>
      </c>
      <c r="D156">
        <v>2.1396037539999999</v>
      </c>
      <c r="E156">
        <v>2.485213838</v>
      </c>
      <c r="F156">
        <v>2.4257425179999998</v>
      </c>
      <c r="G156">
        <v>2.4979257960000001</v>
      </c>
      <c r="H156">
        <v>2.468104114</v>
      </c>
      <c r="I156">
        <v>2.4277459029999999</v>
      </c>
    </row>
    <row r="157" spans="1:9">
      <c r="A157" t="s">
        <v>155</v>
      </c>
      <c r="B157">
        <v>2.2036281459999998</v>
      </c>
      <c r="C157">
        <v>2.300347125</v>
      </c>
      <c r="D157">
        <v>2.3212282019999999</v>
      </c>
      <c r="E157">
        <v>2.483744089</v>
      </c>
      <c r="F157">
        <v>2.5316212490000001</v>
      </c>
      <c r="G157">
        <v>2.6130088690000002</v>
      </c>
      <c r="H157">
        <v>2.541482802</v>
      </c>
      <c r="I157">
        <v>2.5234885710000001</v>
      </c>
    </row>
    <row r="158" spans="1:9">
      <c r="A158" t="s">
        <v>156</v>
      </c>
      <c r="B158">
        <v>2.2036281459999998</v>
      </c>
      <c r="C158">
        <v>2.300347125</v>
      </c>
      <c r="D158">
        <v>2.3212282019999999</v>
      </c>
      <c r="E158">
        <v>2.483744089</v>
      </c>
      <c r="F158">
        <v>2.72431782</v>
      </c>
      <c r="G158">
        <v>2.7836041819999999</v>
      </c>
      <c r="H158">
        <v>2.753004239</v>
      </c>
      <c r="I158">
        <v>2.7344528420000001</v>
      </c>
    </row>
    <row r="159" spans="1:9">
      <c r="A159" t="s">
        <v>157</v>
      </c>
      <c r="B159">
        <v>2.5187628530000001</v>
      </c>
      <c r="C159">
        <v>2.5498275970000002</v>
      </c>
      <c r="D159">
        <v>2.6286688119999999</v>
      </c>
      <c r="E159">
        <v>2.7835793459999998</v>
      </c>
      <c r="F159">
        <v>2.920421862</v>
      </c>
      <c r="G159">
        <v>2.9856248139999999</v>
      </c>
      <c r="H159">
        <v>2.960696709</v>
      </c>
      <c r="I159">
        <v>2.9323750980000001</v>
      </c>
    </row>
    <row r="160" spans="1:9">
      <c r="A160" t="s">
        <v>158</v>
      </c>
      <c r="B160">
        <v>2.8333846810000001</v>
      </c>
      <c r="C160">
        <v>2.9225217940000001</v>
      </c>
      <c r="D160">
        <v>2.8732051269999999</v>
      </c>
      <c r="E160">
        <v>3.195382731</v>
      </c>
      <c r="F160">
        <v>3.144955639</v>
      </c>
      <c r="G160">
        <v>3.212062338</v>
      </c>
      <c r="H160">
        <v>3.1776489780000001</v>
      </c>
      <c r="I160">
        <v>3.1499530130000002</v>
      </c>
    </row>
    <row r="161" spans="1:9">
      <c r="A161" t="s">
        <v>159</v>
      </c>
      <c r="B161">
        <v>2.5812572010000001</v>
      </c>
      <c r="C161">
        <v>2.7977232320000001</v>
      </c>
      <c r="D161">
        <v>2.9329939719999998</v>
      </c>
      <c r="E161">
        <v>2.7267694269999998</v>
      </c>
      <c r="F161">
        <v>3.3278615619999998</v>
      </c>
      <c r="G161">
        <v>3.3617510560000001</v>
      </c>
      <c r="H161">
        <v>3.3499843230000002</v>
      </c>
      <c r="I161">
        <v>3.3087341229999998</v>
      </c>
    </row>
    <row r="162" spans="1:9">
      <c r="A162" t="s">
        <v>160</v>
      </c>
      <c r="B162">
        <v>2.3929501530000001</v>
      </c>
      <c r="C162">
        <v>2.4258222900000002</v>
      </c>
      <c r="D162">
        <v>2.8740833050000001</v>
      </c>
      <c r="E162">
        <v>3.0223042859999998</v>
      </c>
      <c r="F162">
        <v>2.8476700639999999</v>
      </c>
      <c r="G162">
        <v>2.8514511310000001</v>
      </c>
      <c r="H162">
        <v>2.7716921010000002</v>
      </c>
      <c r="I162">
        <v>2.6478098779999999</v>
      </c>
    </row>
    <row r="163" spans="1:9">
      <c r="A163" t="s">
        <v>161</v>
      </c>
      <c r="B163">
        <v>2.0152215930000001</v>
      </c>
      <c r="C163">
        <v>2.3024945809999999</v>
      </c>
      <c r="D163">
        <v>2.570285401</v>
      </c>
      <c r="E163">
        <v>2.7885341989999999</v>
      </c>
      <c r="F163">
        <v>2.7656870769999999</v>
      </c>
      <c r="G163">
        <v>2.7874867189999999</v>
      </c>
      <c r="H163">
        <v>2.7997911690000001</v>
      </c>
      <c r="I163">
        <v>2.705751003</v>
      </c>
    </row>
    <row r="164" spans="1:9">
      <c r="A164" t="s">
        <v>162</v>
      </c>
      <c r="B164">
        <v>1.8263417239999999</v>
      </c>
      <c r="C164">
        <v>2.178373712</v>
      </c>
      <c r="D164">
        <v>2.265331813</v>
      </c>
      <c r="E164">
        <v>2.6112965529999999</v>
      </c>
      <c r="F164">
        <v>2.540944563</v>
      </c>
      <c r="G164">
        <v>2.5534473700000002</v>
      </c>
      <c r="H164">
        <v>2.529975474</v>
      </c>
      <c r="I164">
        <v>2.5065301729999998</v>
      </c>
    </row>
    <row r="165" spans="1:9">
      <c r="A165" t="s">
        <v>163</v>
      </c>
      <c r="B165">
        <v>2.0784692040000001</v>
      </c>
      <c r="C165">
        <v>2.3656449159999999</v>
      </c>
      <c r="D165">
        <v>2.3885160050000001</v>
      </c>
      <c r="E165">
        <v>2.5542163470000001</v>
      </c>
      <c r="F165">
        <v>2.6267215030000002</v>
      </c>
      <c r="G165">
        <v>2.637593662</v>
      </c>
      <c r="H165">
        <v>2.566932988</v>
      </c>
      <c r="I165">
        <v>2.5489148089999998</v>
      </c>
    </row>
    <row r="166" spans="1:9">
      <c r="A166" t="s">
        <v>164</v>
      </c>
      <c r="B166">
        <v>2.078687741</v>
      </c>
      <c r="C166">
        <v>2.3039282810000001</v>
      </c>
      <c r="D166">
        <v>2.3283400539999999</v>
      </c>
      <c r="E166">
        <v>2.4970347550000001</v>
      </c>
      <c r="F166">
        <v>2.5962840250000001</v>
      </c>
      <c r="G166">
        <v>2.6266372809999998</v>
      </c>
      <c r="H166">
        <v>2.5250252820000001</v>
      </c>
      <c r="I166">
        <v>2.5125456150000001</v>
      </c>
    </row>
    <row r="167" spans="1:9">
      <c r="A167" t="s">
        <v>165</v>
      </c>
      <c r="B167">
        <v>2.078687741</v>
      </c>
      <c r="C167">
        <v>2.3039282810000001</v>
      </c>
      <c r="D167">
        <v>2.3283400539999999</v>
      </c>
      <c r="E167">
        <v>2.5542163470000001</v>
      </c>
      <c r="F167">
        <v>2.5257803619999999</v>
      </c>
      <c r="G167">
        <v>2.5877987550000001</v>
      </c>
      <c r="H167">
        <v>2.4966206880000001</v>
      </c>
      <c r="I167">
        <v>2.437210447</v>
      </c>
    </row>
    <row r="168" spans="1:9">
      <c r="A168" t="s">
        <v>166</v>
      </c>
      <c r="B168">
        <v>2.078687741</v>
      </c>
      <c r="C168">
        <v>2.3039282810000001</v>
      </c>
      <c r="D168">
        <v>2.3283400539999999</v>
      </c>
      <c r="E168">
        <v>2.5542163470000001</v>
      </c>
      <c r="F168">
        <v>2.4190656879999999</v>
      </c>
      <c r="G168">
        <v>2.4720594829999998</v>
      </c>
      <c r="H168">
        <v>2.4172868279999999</v>
      </c>
      <c r="I168">
        <v>2.325264035</v>
      </c>
    </row>
    <row r="169" spans="1:9">
      <c r="A169" t="s">
        <v>167</v>
      </c>
      <c r="B169">
        <v>2.2045525819999998</v>
      </c>
      <c r="C169">
        <v>2.42808819</v>
      </c>
      <c r="D169">
        <v>2.4501366739999999</v>
      </c>
      <c r="E169">
        <v>2.5542163470000001</v>
      </c>
      <c r="F169">
        <v>2.4806564629999999</v>
      </c>
      <c r="G169">
        <v>2.5226587579999999</v>
      </c>
      <c r="H169">
        <v>2.4366181240000002</v>
      </c>
      <c r="I169">
        <v>2.3712999080000001</v>
      </c>
    </row>
    <row r="170" spans="1:9">
      <c r="A170" t="s">
        <v>168</v>
      </c>
      <c r="B170">
        <v>2.141734509</v>
      </c>
      <c r="C170">
        <v>2.3663813139999998</v>
      </c>
      <c r="D170">
        <v>2.3283400539999999</v>
      </c>
      <c r="E170">
        <v>2.6714439040000002</v>
      </c>
      <c r="F170">
        <v>2.471610225</v>
      </c>
      <c r="G170">
        <v>2.4952316209999998</v>
      </c>
      <c r="H170">
        <v>2.425756459</v>
      </c>
      <c r="I170">
        <v>2.366267509</v>
      </c>
    </row>
    <row r="171" spans="1:9">
      <c r="A171" t="s">
        <v>169</v>
      </c>
      <c r="B171">
        <v>2.078687741</v>
      </c>
      <c r="C171">
        <v>2.2414850080000002</v>
      </c>
      <c r="D171">
        <v>2.205117768</v>
      </c>
      <c r="E171">
        <v>2.551185357</v>
      </c>
      <c r="F171">
        <v>2.3956136219999999</v>
      </c>
      <c r="G171">
        <v>2.3785156559999998</v>
      </c>
      <c r="H171">
        <v>2.2727703670000001</v>
      </c>
      <c r="I171">
        <v>2.2776996610000002</v>
      </c>
    </row>
    <row r="172" spans="1:9">
      <c r="A172" t="s">
        <v>170</v>
      </c>
      <c r="B172">
        <v>2.2044380509999999</v>
      </c>
      <c r="C172">
        <v>2.4277094290000001</v>
      </c>
      <c r="D172">
        <v>2.3269143880000001</v>
      </c>
      <c r="E172">
        <v>2.551185357</v>
      </c>
      <c r="F172">
        <v>2.5970365000000002</v>
      </c>
      <c r="G172">
        <v>2.5672869920000001</v>
      </c>
      <c r="H172">
        <v>2.5588131660000002</v>
      </c>
      <c r="I172">
        <v>2.518837891</v>
      </c>
    </row>
    <row r="173" spans="1:9">
      <c r="A173" t="s">
        <v>171</v>
      </c>
      <c r="B173">
        <v>1.952809088</v>
      </c>
      <c r="C173">
        <v>2.1797303019999998</v>
      </c>
      <c r="D173">
        <v>2.266719385</v>
      </c>
      <c r="E173">
        <v>2.551185357</v>
      </c>
      <c r="F173">
        <v>2.5141792970000001</v>
      </c>
      <c r="G173">
        <v>2.5352282499999998</v>
      </c>
      <c r="H173">
        <v>2.5679287880000001</v>
      </c>
      <c r="I173">
        <v>2.5160378909999999</v>
      </c>
    </row>
    <row r="174" spans="1:9">
      <c r="A174" t="s">
        <v>172</v>
      </c>
      <c r="B174">
        <v>2.1415098210000001</v>
      </c>
      <c r="C174">
        <v>2.3032114080000001</v>
      </c>
      <c r="D174">
        <v>2.3870549419999998</v>
      </c>
      <c r="E174">
        <v>2.7786429909999999</v>
      </c>
      <c r="F174">
        <v>2.8671757950000001</v>
      </c>
      <c r="G174">
        <v>2.8463503910000001</v>
      </c>
      <c r="H174">
        <v>2.9114161680000001</v>
      </c>
      <c r="I174">
        <v>2.9443512740000002</v>
      </c>
    </row>
    <row r="175" spans="1:9">
      <c r="A175" t="s">
        <v>173</v>
      </c>
      <c r="B175">
        <v>2.141734509</v>
      </c>
      <c r="C175">
        <v>2.3039282810000001</v>
      </c>
      <c r="D175">
        <v>2.205117768</v>
      </c>
      <c r="E175">
        <v>2.5481615519999998</v>
      </c>
      <c r="F175">
        <v>2.635432765</v>
      </c>
      <c r="G175">
        <v>2.6597916540000002</v>
      </c>
      <c r="H175">
        <v>2.7081577710000002</v>
      </c>
      <c r="I175">
        <v>2.736698488</v>
      </c>
    </row>
    <row r="176" spans="1:9">
      <c r="A176" t="s">
        <v>174</v>
      </c>
      <c r="B176">
        <v>2.2047852649999999</v>
      </c>
      <c r="C176">
        <v>2.3975615709999998</v>
      </c>
      <c r="D176">
        <v>2.3283400539999999</v>
      </c>
      <c r="E176">
        <v>2.7551386029999998</v>
      </c>
      <c r="F176">
        <v>2.7167606019999999</v>
      </c>
      <c r="G176">
        <v>2.7380457900000001</v>
      </c>
      <c r="H176">
        <v>2.7616869980000001</v>
      </c>
      <c r="I176">
        <v>2.714837073</v>
      </c>
    </row>
    <row r="177" spans="1:9">
      <c r="A177" t="s">
        <v>175</v>
      </c>
      <c r="B177">
        <v>2.4567597440000002</v>
      </c>
      <c r="C177">
        <v>2.5530040089999999</v>
      </c>
      <c r="D177">
        <v>2.5710723600000001</v>
      </c>
      <c r="E177">
        <v>2.7251539220000001</v>
      </c>
      <c r="F177">
        <v>2.8018991180000001</v>
      </c>
      <c r="G177">
        <v>2.821162444</v>
      </c>
      <c r="H177">
        <v>2.786209237</v>
      </c>
      <c r="I177">
        <v>2.713099514</v>
      </c>
    </row>
    <row r="178" spans="1:9">
      <c r="A178" t="s">
        <v>176</v>
      </c>
      <c r="B178">
        <v>2.3939546869999999</v>
      </c>
      <c r="C178">
        <v>2.4288441000000001</v>
      </c>
      <c r="D178">
        <v>2.3885160050000001</v>
      </c>
      <c r="E178">
        <v>2.8419706549999999</v>
      </c>
      <c r="F178">
        <v>2.787445269</v>
      </c>
      <c r="G178">
        <v>2.788389853</v>
      </c>
      <c r="H178">
        <v>2.754110754</v>
      </c>
      <c r="I178">
        <v>2.6599826339999999</v>
      </c>
    </row>
    <row r="179" spans="1:9">
      <c r="A179" t="s">
        <v>177</v>
      </c>
      <c r="B179">
        <v>2.268076035</v>
      </c>
      <c r="C179">
        <v>2.367117709</v>
      </c>
      <c r="D179">
        <v>2.5117764089999999</v>
      </c>
      <c r="E179">
        <v>2.6682756520000002</v>
      </c>
      <c r="F179">
        <v>2.8067149090000001</v>
      </c>
      <c r="G179">
        <v>2.7853348649999998</v>
      </c>
      <c r="H179">
        <v>2.8343951170000001</v>
      </c>
      <c r="I179">
        <v>2.7266682219999998</v>
      </c>
    </row>
    <row r="180" spans="1:9">
      <c r="A180" t="s">
        <v>178</v>
      </c>
      <c r="B180">
        <v>2.1421837180000001</v>
      </c>
      <c r="C180">
        <v>2.2428817080000001</v>
      </c>
      <c r="D180">
        <v>2.3899797889999999</v>
      </c>
      <c r="E180">
        <v>2.492588756</v>
      </c>
      <c r="F180">
        <v>2.659858147</v>
      </c>
      <c r="G180">
        <v>2.6480147889999999</v>
      </c>
      <c r="H180">
        <v>2.5970109560000001</v>
      </c>
      <c r="I180">
        <v>2.5294400650000002</v>
      </c>
    </row>
    <row r="181" spans="1:9">
      <c r="A181" t="s">
        <v>179</v>
      </c>
      <c r="B181">
        <v>2.1424091619999999</v>
      </c>
      <c r="C181">
        <v>2.2435801689999999</v>
      </c>
      <c r="D181">
        <v>2.3297683999999999</v>
      </c>
      <c r="E181">
        <v>2.4354036429999999</v>
      </c>
      <c r="F181">
        <v>2.824963044</v>
      </c>
      <c r="G181">
        <v>2.8445041940000002</v>
      </c>
      <c r="H181">
        <v>2.8335723929999999</v>
      </c>
      <c r="I181">
        <v>2.7675626169999998</v>
      </c>
    </row>
    <row r="182" spans="1:9">
      <c r="A182" t="s">
        <v>180</v>
      </c>
      <c r="B182">
        <v>2.3316294750000002</v>
      </c>
      <c r="C182">
        <v>2.306441924</v>
      </c>
      <c r="D182">
        <v>2.4531423509999999</v>
      </c>
      <c r="E182">
        <v>2.6128473030000001</v>
      </c>
      <c r="F182">
        <v>2.712168181</v>
      </c>
      <c r="G182">
        <v>2.7100175609999999</v>
      </c>
      <c r="H182">
        <v>2.7316340490000002</v>
      </c>
      <c r="I182">
        <v>2.6667321820000001</v>
      </c>
    </row>
    <row r="183" spans="1:9">
      <c r="A183" t="s">
        <v>181</v>
      </c>
      <c r="B183">
        <v>2.457792655</v>
      </c>
      <c r="C183">
        <v>2.4940345750000001</v>
      </c>
      <c r="D183">
        <v>2.6383471200000002</v>
      </c>
      <c r="E183">
        <v>2.7332506460000001</v>
      </c>
      <c r="F183">
        <v>2.854595191</v>
      </c>
      <c r="G183">
        <v>2.8319806359999999</v>
      </c>
      <c r="H183">
        <v>2.760052714</v>
      </c>
      <c r="I183">
        <v>2.675387154</v>
      </c>
    </row>
    <row r="184" spans="1:9">
      <c r="A184" t="s">
        <v>182</v>
      </c>
      <c r="B184">
        <v>2.2690287530000002</v>
      </c>
      <c r="C184">
        <v>2.3700709600000001</v>
      </c>
      <c r="D184">
        <v>2.3958528889999999</v>
      </c>
      <c r="E184">
        <v>2.5014975960000001</v>
      </c>
      <c r="F184">
        <v>2.8496280139999999</v>
      </c>
      <c r="G184">
        <v>2.849899025</v>
      </c>
      <c r="H184">
        <v>2.8089057749999999</v>
      </c>
      <c r="I184">
        <v>2.6793356419999999</v>
      </c>
    </row>
    <row r="185" spans="1:9">
      <c r="A185" t="s">
        <v>183</v>
      </c>
      <c r="B185">
        <v>2.2690287530000002</v>
      </c>
      <c r="C185">
        <v>2.3700709600000001</v>
      </c>
      <c r="D185">
        <v>2.5797580670000002</v>
      </c>
      <c r="E185">
        <v>2.6793985029999998</v>
      </c>
      <c r="F185">
        <v>2.8143314899999998</v>
      </c>
      <c r="G185">
        <v>2.8118949359999998</v>
      </c>
      <c r="H185">
        <v>2.6606127220000002</v>
      </c>
      <c r="I185">
        <v>2.5570601630000001</v>
      </c>
    </row>
    <row r="186" spans="1:9">
      <c r="A186" t="s">
        <v>184</v>
      </c>
      <c r="B186">
        <v>2.2060582169999998</v>
      </c>
      <c r="C186">
        <v>2.307880731</v>
      </c>
      <c r="D186">
        <v>2.3333446100000002</v>
      </c>
      <c r="E186">
        <v>2.6730308530000002</v>
      </c>
      <c r="F186">
        <v>2.7763915890000002</v>
      </c>
      <c r="G186">
        <v>2.7633561289999999</v>
      </c>
      <c r="H186">
        <v>2.7647375809999999</v>
      </c>
      <c r="I186">
        <v>2.695020693</v>
      </c>
    </row>
    <row r="187" spans="1:9">
      <c r="A187" t="s">
        <v>185</v>
      </c>
      <c r="B187">
        <v>2.3321193230000001</v>
      </c>
      <c r="C187">
        <v>2.494423507</v>
      </c>
      <c r="D187">
        <v>2.5773835909999998</v>
      </c>
      <c r="E187">
        <v>2.7316274539999998</v>
      </c>
      <c r="F187">
        <v>3.0375265040000001</v>
      </c>
      <c r="G187">
        <v>3.1426796129999999</v>
      </c>
      <c r="H187">
        <v>3.1508846450000001</v>
      </c>
      <c r="I187">
        <v>3.0939794169999999</v>
      </c>
    </row>
    <row r="188" spans="1:9">
      <c r="A188" t="s">
        <v>186</v>
      </c>
      <c r="B188">
        <v>2.7103011050000001</v>
      </c>
      <c r="C188">
        <v>2.7438668960000001</v>
      </c>
      <c r="D188">
        <v>2.8228562959999999</v>
      </c>
      <c r="E188">
        <v>2.907211524</v>
      </c>
      <c r="F188">
        <v>3.1013311890000002</v>
      </c>
      <c r="G188">
        <v>3.1269237439999999</v>
      </c>
      <c r="H188">
        <v>3.0358073669999999</v>
      </c>
      <c r="I188">
        <v>3.0374960190000002</v>
      </c>
    </row>
    <row r="189" spans="1:9">
      <c r="A189" t="s">
        <v>187</v>
      </c>
      <c r="B189">
        <v>2.8363610669999999</v>
      </c>
      <c r="C189">
        <v>2.8685896139999998</v>
      </c>
      <c r="D189">
        <v>3.0065010820000002</v>
      </c>
      <c r="E189">
        <v>3.0843163200000001</v>
      </c>
      <c r="F189">
        <v>3.3057032639999999</v>
      </c>
      <c r="G189">
        <v>3.3608274960000002</v>
      </c>
      <c r="H189">
        <v>3.2537585980000001</v>
      </c>
      <c r="I189">
        <v>3.2106682489999998</v>
      </c>
    </row>
    <row r="190" spans="1:9">
      <c r="A190" t="s">
        <v>188</v>
      </c>
      <c r="B190">
        <v>3.2769707540000002</v>
      </c>
      <c r="C190">
        <v>3.3653814130000002</v>
      </c>
      <c r="D190">
        <v>3.4312837589999998</v>
      </c>
      <c r="E190">
        <v>3.6043506700000001</v>
      </c>
      <c r="F190">
        <v>3.8535701329999998</v>
      </c>
      <c r="G190">
        <v>3.8424830189999999</v>
      </c>
      <c r="H190">
        <v>3.6715587369999998</v>
      </c>
      <c r="I190">
        <v>3.5980384270000001</v>
      </c>
    </row>
    <row r="191" spans="1:9">
      <c r="A191" t="s">
        <v>189</v>
      </c>
      <c r="B191">
        <v>3.1510985279999999</v>
      </c>
      <c r="C191">
        <v>3.3033169</v>
      </c>
      <c r="D191">
        <v>3.493095608</v>
      </c>
      <c r="E191">
        <v>3.6064818870000002</v>
      </c>
      <c r="F191">
        <v>3.7890783940000001</v>
      </c>
      <c r="G191">
        <v>3.6126255939999998</v>
      </c>
      <c r="H191">
        <v>3.4194451809999999</v>
      </c>
      <c r="I191">
        <v>3.3371827519999999</v>
      </c>
    </row>
    <row r="192" spans="1:9">
      <c r="A192" t="s">
        <v>190</v>
      </c>
      <c r="B192">
        <v>3.1509343400000001</v>
      </c>
      <c r="C192">
        <v>3.426902911</v>
      </c>
      <c r="D192">
        <v>3.6134515500000002</v>
      </c>
      <c r="E192">
        <v>3.6645342200000002</v>
      </c>
      <c r="F192">
        <v>4.0544506010000001</v>
      </c>
      <c r="G192">
        <v>3.9503587329999998</v>
      </c>
      <c r="H192">
        <v>3.663445528</v>
      </c>
      <c r="I192">
        <v>3.6047586040000001</v>
      </c>
    </row>
    <row r="193" spans="1:9">
      <c r="A193" t="s">
        <v>191</v>
      </c>
      <c r="B193">
        <v>3.3402531510000002</v>
      </c>
      <c r="C193">
        <v>3.4285065019999998</v>
      </c>
      <c r="D193">
        <v>3.5549256890000001</v>
      </c>
      <c r="E193">
        <v>3.7872511179999999</v>
      </c>
      <c r="F193">
        <v>4.0838484670000001</v>
      </c>
      <c r="G193">
        <v>3.920328719</v>
      </c>
      <c r="H193">
        <v>3.6680768609999999</v>
      </c>
      <c r="I193">
        <v>3.5650319349999999</v>
      </c>
    </row>
    <row r="194" spans="1:9">
      <c r="A194" t="s">
        <v>192</v>
      </c>
      <c r="B194">
        <v>3.4661179930000001</v>
      </c>
      <c r="C194">
        <v>3.615236667</v>
      </c>
      <c r="D194">
        <v>3.8596286630000001</v>
      </c>
      <c r="E194">
        <v>4.0795873020000002</v>
      </c>
      <c r="F194">
        <v>4.2727098640000003</v>
      </c>
      <c r="G194">
        <v>4.1609867109999996</v>
      </c>
      <c r="H194">
        <v>3.8662003920000001</v>
      </c>
      <c r="I194">
        <v>3.7639639539999998</v>
      </c>
    </row>
    <row r="195" spans="1:9">
      <c r="A195" t="s">
        <v>193</v>
      </c>
      <c r="B195">
        <v>3.087995925</v>
      </c>
      <c r="C195">
        <v>3.3653814130000002</v>
      </c>
      <c r="D195">
        <v>3.5527471519999998</v>
      </c>
      <c r="E195">
        <v>3.9010147040000001</v>
      </c>
      <c r="F195">
        <v>4.400806964</v>
      </c>
      <c r="G195">
        <v>4.3344793319999999</v>
      </c>
      <c r="H195">
        <v>4.1414878750000002</v>
      </c>
      <c r="I195">
        <v>4.0345506709999999</v>
      </c>
    </row>
    <row r="196" spans="1:9">
      <c r="A196" t="s">
        <v>194</v>
      </c>
      <c r="B196">
        <v>3.403008061</v>
      </c>
      <c r="C196">
        <v>3.4900277370000001</v>
      </c>
      <c r="D196">
        <v>3.7977793869999998</v>
      </c>
      <c r="E196">
        <v>4.0771763620000003</v>
      </c>
      <c r="F196">
        <v>4.260558101</v>
      </c>
      <c r="G196">
        <v>4.249931761</v>
      </c>
      <c r="H196">
        <v>4.1008395120000003</v>
      </c>
      <c r="I196">
        <v>3.9831112559999999</v>
      </c>
    </row>
    <row r="197" spans="1:9">
      <c r="A197" t="s">
        <v>195</v>
      </c>
      <c r="B197">
        <v>3.5915931169999999</v>
      </c>
      <c r="C197">
        <v>3.6135468070000001</v>
      </c>
      <c r="D197">
        <v>3.7954538439999999</v>
      </c>
      <c r="E197">
        <v>4.0699596610000004</v>
      </c>
      <c r="F197">
        <v>4.2712456469999998</v>
      </c>
      <c r="G197">
        <v>4.2396308730000003</v>
      </c>
      <c r="H197">
        <v>4.0696515179999997</v>
      </c>
      <c r="I197">
        <v>3.9630584120000001</v>
      </c>
    </row>
    <row r="198" spans="1:9">
      <c r="A198" t="s">
        <v>196</v>
      </c>
      <c r="B198">
        <v>4.0323487739999999</v>
      </c>
      <c r="C198">
        <v>4.4816102400000002</v>
      </c>
      <c r="D198">
        <v>4.8251565249999997</v>
      </c>
      <c r="E198">
        <v>5.1591605659999997</v>
      </c>
      <c r="F198">
        <v>5.4415618180000003</v>
      </c>
      <c r="G198">
        <v>5.0733524579999996</v>
      </c>
      <c r="H198">
        <v>4.7488763169999997</v>
      </c>
      <c r="I198">
        <v>4.5370738920000004</v>
      </c>
    </row>
    <row r="199" spans="1:9">
      <c r="A199" t="s">
        <v>197</v>
      </c>
      <c r="B199">
        <v>3.2771432200000001</v>
      </c>
      <c r="C199">
        <v>3.7375712509999999</v>
      </c>
      <c r="D199">
        <v>4.5218103909999998</v>
      </c>
      <c r="E199">
        <v>4.8100790240000002</v>
      </c>
      <c r="F199">
        <v>4.9617042930000004</v>
      </c>
      <c r="G199">
        <v>4.7786051399999998</v>
      </c>
      <c r="H199">
        <v>4.5682983869999996</v>
      </c>
      <c r="I199">
        <v>4.3623449890000003</v>
      </c>
    </row>
    <row r="200" spans="1:9">
      <c r="A200" t="s">
        <v>198</v>
      </c>
      <c r="B200">
        <v>3.403008061</v>
      </c>
      <c r="C200">
        <v>3.6755640409999999</v>
      </c>
      <c r="D200">
        <v>4.2181930230000004</v>
      </c>
      <c r="E200">
        <v>4.6982293840000002</v>
      </c>
      <c r="F200">
        <v>4.8377918729999996</v>
      </c>
      <c r="G200">
        <v>4.6247894059999997</v>
      </c>
      <c r="H200">
        <v>4.3301091290000002</v>
      </c>
      <c r="I200">
        <v>4.1559514819999999</v>
      </c>
    </row>
    <row r="201" spans="1:9">
      <c r="A201" t="s">
        <v>199</v>
      </c>
      <c r="B201">
        <v>3.3399017849999999</v>
      </c>
      <c r="C201">
        <v>3.7369890539999999</v>
      </c>
      <c r="D201">
        <v>4.2773695109999998</v>
      </c>
      <c r="E201">
        <v>4.747219554</v>
      </c>
      <c r="F201">
        <v>5.0588724789999997</v>
      </c>
      <c r="G201">
        <v>4.7917972300000002</v>
      </c>
      <c r="H201">
        <v>4.4693486780000002</v>
      </c>
      <c r="I201">
        <v>4.2670100680000003</v>
      </c>
    </row>
    <row r="202" spans="1:9">
      <c r="A202" t="s">
        <v>200</v>
      </c>
      <c r="B202">
        <v>3.3399017849999999</v>
      </c>
      <c r="C202">
        <v>3.7369890539999999</v>
      </c>
      <c r="D202">
        <v>4.2773695109999998</v>
      </c>
      <c r="E202">
        <v>4.747219554</v>
      </c>
      <c r="F202">
        <v>4.8755247649999998</v>
      </c>
      <c r="G202">
        <v>4.4998501109999998</v>
      </c>
      <c r="H202">
        <v>4.1720160179999999</v>
      </c>
      <c r="I202">
        <v>4.1030406609999996</v>
      </c>
    </row>
    <row r="203" spans="1:9">
      <c r="A203" t="s">
        <v>201</v>
      </c>
      <c r="B203">
        <v>3.2769707540000002</v>
      </c>
      <c r="C203">
        <v>3.3643332469999998</v>
      </c>
      <c r="D203">
        <v>3.8513699720000001</v>
      </c>
      <c r="E203">
        <v>4.2232979630000003</v>
      </c>
      <c r="F203">
        <v>4.3446118269999996</v>
      </c>
      <c r="G203">
        <v>4.07071395</v>
      </c>
      <c r="H203">
        <v>3.8679353760000001</v>
      </c>
      <c r="I203">
        <v>3.7082593400000001</v>
      </c>
    </row>
    <row r="204" spans="1:9">
      <c r="A204" t="s">
        <v>202</v>
      </c>
      <c r="B204">
        <v>3.3400770309999999</v>
      </c>
      <c r="C204">
        <v>3.3028011180000001</v>
      </c>
      <c r="D204">
        <v>3.6101351770000001</v>
      </c>
      <c r="E204">
        <v>3.9956384260000002</v>
      </c>
      <c r="F204">
        <v>4.1700103930000001</v>
      </c>
      <c r="G204">
        <v>3.9362837430000002</v>
      </c>
      <c r="H204">
        <v>3.7321550760000002</v>
      </c>
      <c r="I204">
        <v>3.5499051100000001</v>
      </c>
    </row>
    <row r="205" spans="1:9">
      <c r="A205" t="s">
        <v>203</v>
      </c>
      <c r="B205">
        <v>3.780326665</v>
      </c>
      <c r="C205">
        <v>3.7352440589999998</v>
      </c>
      <c r="D205">
        <v>4.0316998469999996</v>
      </c>
      <c r="E205">
        <v>4.3928812539999997</v>
      </c>
      <c r="F205">
        <v>4.4459442129999998</v>
      </c>
      <c r="G205">
        <v>4.2737785949999996</v>
      </c>
      <c r="H205">
        <v>4.0154930750000002</v>
      </c>
      <c r="I205">
        <v>3.889785029</v>
      </c>
    </row>
    <row r="206" spans="1:9">
      <c r="A206" t="s">
        <v>204</v>
      </c>
      <c r="B206">
        <v>3.5288607820000002</v>
      </c>
      <c r="C206">
        <v>3.6738474719999998</v>
      </c>
      <c r="D206">
        <v>3.972429268</v>
      </c>
      <c r="E206">
        <v>4.3381030210000002</v>
      </c>
      <c r="F206">
        <v>4.3875631400000001</v>
      </c>
      <c r="G206">
        <v>4.1357589590000003</v>
      </c>
      <c r="H206">
        <v>3.9750132319999998</v>
      </c>
      <c r="I206">
        <v>3.859979107</v>
      </c>
    </row>
    <row r="207" spans="1:9">
      <c r="A207" t="s">
        <v>205</v>
      </c>
      <c r="B207">
        <v>3.403008061</v>
      </c>
      <c r="C207">
        <v>3.5498613140000002</v>
      </c>
      <c r="D207">
        <v>3.9131042580000002</v>
      </c>
      <c r="E207">
        <v>4.2857440479999998</v>
      </c>
      <c r="F207">
        <v>4.385407989</v>
      </c>
      <c r="G207">
        <v>4.1677336509999998</v>
      </c>
      <c r="H207">
        <v>3.9634965339999999</v>
      </c>
      <c r="I207">
        <v>3.8473781279999999</v>
      </c>
    </row>
    <row r="208" spans="1:9">
      <c r="A208" t="s">
        <v>206</v>
      </c>
      <c r="B208">
        <v>3.5917815160000002</v>
      </c>
      <c r="C208">
        <v>3.5498613140000002</v>
      </c>
      <c r="D208">
        <v>3.8513699720000001</v>
      </c>
      <c r="E208">
        <v>4.2257770399999997</v>
      </c>
      <c r="F208">
        <v>4.2510427599999998</v>
      </c>
      <c r="G208">
        <v>3.963469753</v>
      </c>
      <c r="H208">
        <v>3.687154354</v>
      </c>
      <c r="I208">
        <v>3.5524922170000002</v>
      </c>
    </row>
    <row r="209" spans="1:9">
      <c r="A209" t="s">
        <v>207</v>
      </c>
      <c r="B209">
        <v>3.4028300140000001</v>
      </c>
      <c r="C209">
        <v>3.5498613140000002</v>
      </c>
      <c r="D209">
        <v>3.9131042580000002</v>
      </c>
      <c r="E209">
        <v>4.1682920210000001</v>
      </c>
      <c r="F209">
        <v>4.3315703040000004</v>
      </c>
      <c r="G209">
        <v>4.0722974340000002</v>
      </c>
      <c r="H209">
        <v>3.8687548170000001</v>
      </c>
      <c r="I209">
        <v>3.708632207</v>
      </c>
    </row>
    <row r="210" spans="1:9">
      <c r="A210" t="s">
        <v>208</v>
      </c>
      <c r="B210">
        <v>3.2769707540000002</v>
      </c>
      <c r="C210">
        <v>3.4258368689999998</v>
      </c>
      <c r="D210">
        <v>3.6696434500000001</v>
      </c>
      <c r="E210">
        <v>4.0532227519999999</v>
      </c>
      <c r="F210">
        <v>4.0717169310000001</v>
      </c>
      <c r="G210">
        <v>3.8458558539999999</v>
      </c>
      <c r="H210">
        <v>3.727763876</v>
      </c>
      <c r="I210">
        <v>3.5998704610000001</v>
      </c>
    </row>
    <row r="211" spans="1:9">
      <c r="A211" t="s">
        <v>209</v>
      </c>
      <c r="B211">
        <v>3.2769707540000002</v>
      </c>
      <c r="C211">
        <v>3.3638096160000002</v>
      </c>
      <c r="D211">
        <v>3.6707656790000001</v>
      </c>
      <c r="E211">
        <v>3.882653232</v>
      </c>
      <c r="F211">
        <v>4.0729408950000003</v>
      </c>
      <c r="G211">
        <v>3.8742457959999999</v>
      </c>
      <c r="H211">
        <v>3.7217711840000001</v>
      </c>
      <c r="I211">
        <v>3.6267947270000001</v>
      </c>
    </row>
    <row r="212" spans="1:9">
      <c r="A212" t="s">
        <v>210</v>
      </c>
      <c r="B212">
        <v>3.3399017849999999</v>
      </c>
      <c r="C212">
        <v>3.4878541040000002</v>
      </c>
      <c r="D212">
        <v>3.8525474709999998</v>
      </c>
      <c r="E212">
        <v>4.1431384639999997</v>
      </c>
      <c r="F212">
        <v>4.2420446250000001</v>
      </c>
      <c r="G212">
        <v>4.0347355650000001</v>
      </c>
      <c r="H212">
        <v>3.81953137</v>
      </c>
      <c r="I212">
        <v>3.7037643120000001</v>
      </c>
    </row>
    <row r="213" spans="1:9">
      <c r="A213" t="s">
        <v>211</v>
      </c>
      <c r="B213">
        <v>3.2761105609999999</v>
      </c>
      <c r="C213">
        <v>3.4247694869999998</v>
      </c>
      <c r="D213">
        <v>3.7896538610000001</v>
      </c>
      <c r="E213">
        <v>4.0532227519999999</v>
      </c>
      <c r="F213">
        <v>4.0911846729999999</v>
      </c>
      <c r="G213">
        <v>3.8146899400000001</v>
      </c>
      <c r="H213">
        <v>3.6338334520000002</v>
      </c>
      <c r="I213">
        <v>3.529901218</v>
      </c>
    </row>
    <row r="214" spans="1:9">
      <c r="A214" t="s">
        <v>212</v>
      </c>
      <c r="B214">
        <v>3.0871860940000002</v>
      </c>
      <c r="C214">
        <v>3.3002313920000002</v>
      </c>
      <c r="D214">
        <v>3.4845533870000001</v>
      </c>
      <c r="E214">
        <v>3.7605439569999999</v>
      </c>
      <c r="F214">
        <v>4.0062875489999996</v>
      </c>
      <c r="G214">
        <v>3.817154677</v>
      </c>
      <c r="H214">
        <v>3.663722377</v>
      </c>
      <c r="I214">
        <v>3.5347184739999999</v>
      </c>
    </row>
    <row r="215" spans="1:9">
      <c r="A215" t="s">
        <v>213</v>
      </c>
      <c r="B215">
        <v>2.834723334</v>
      </c>
      <c r="C215">
        <v>3.7317591910000001</v>
      </c>
      <c r="D215">
        <v>4.1462824449999998</v>
      </c>
      <c r="E215">
        <v>4.3851746030000003</v>
      </c>
      <c r="F215">
        <v>4.2881010379999998</v>
      </c>
      <c r="G215">
        <v>3.9833463230000001</v>
      </c>
      <c r="H215">
        <v>3.7831772579999998</v>
      </c>
      <c r="I215">
        <v>3.669303454</v>
      </c>
    </row>
    <row r="216" spans="1:9">
      <c r="A216" t="s">
        <v>214</v>
      </c>
      <c r="B216">
        <v>3.4017582530000001</v>
      </c>
      <c r="C216">
        <v>3.7340820250000002</v>
      </c>
      <c r="D216">
        <v>4.1500781770000001</v>
      </c>
      <c r="E216">
        <v>4.390309362</v>
      </c>
      <c r="F216">
        <v>4.2344668969999999</v>
      </c>
      <c r="G216">
        <v>3.9603941549999999</v>
      </c>
      <c r="H216">
        <v>3.7171862039999999</v>
      </c>
      <c r="I216">
        <v>3.5601390469999998</v>
      </c>
    </row>
    <row r="217" spans="1:9">
      <c r="A217" t="s">
        <v>215</v>
      </c>
      <c r="B217">
        <v>3.4648441089999999</v>
      </c>
      <c r="C217">
        <v>3.796612911</v>
      </c>
      <c r="D217">
        <v>4.1500781770000001</v>
      </c>
      <c r="E217">
        <v>4.390309362</v>
      </c>
      <c r="F217">
        <v>4.2056902889999996</v>
      </c>
      <c r="G217">
        <v>3.942128834</v>
      </c>
      <c r="H217">
        <v>3.698418534</v>
      </c>
      <c r="I217">
        <v>3.5524946829999999</v>
      </c>
    </row>
    <row r="218" spans="1:9">
      <c r="A218" t="s">
        <v>216</v>
      </c>
      <c r="B218">
        <v>3.4655726360000001</v>
      </c>
      <c r="C218">
        <v>3.7977952959999999</v>
      </c>
      <c r="D218">
        <v>4.272147618</v>
      </c>
      <c r="E218">
        <v>4.2731984220000001</v>
      </c>
      <c r="F218">
        <v>4.0759819589999999</v>
      </c>
      <c r="G218">
        <v>3.883207058</v>
      </c>
      <c r="H218">
        <v>3.6805155859999998</v>
      </c>
      <c r="I218">
        <v>3.5207519459999999</v>
      </c>
    </row>
    <row r="219" spans="1:9">
      <c r="A219" t="s">
        <v>217</v>
      </c>
      <c r="B219">
        <v>3.654699393</v>
      </c>
      <c r="C219">
        <v>3.9848846889999998</v>
      </c>
      <c r="D219">
        <v>4.2734521279999997</v>
      </c>
      <c r="E219">
        <v>4.4501686820000002</v>
      </c>
      <c r="F219">
        <v>4.4320989480000001</v>
      </c>
      <c r="G219">
        <v>4.1547338849999997</v>
      </c>
      <c r="H219">
        <v>3.908891176</v>
      </c>
      <c r="I219">
        <v>3.7507766569999998</v>
      </c>
    </row>
    <row r="220" spans="1:9">
      <c r="A220" t="s">
        <v>218</v>
      </c>
      <c r="B220">
        <v>3.9697419969999999</v>
      </c>
      <c r="C220">
        <v>4.0457044619999998</v>
      </c>
      <c r="D220">
        <v>4.3333515350000003</v>
      </c>
      <c r="E220">
        <v>4.4501686820000002</v>
      </c>
      <c r="F220">
        <v>4.1854531330000002</v>
      </c>
      <c r="G220">
        <v>3.9633837289999998</v>
      </c>
      <c r="H220">
        <v>3.7933546570000001</v>
      </c>
      <c r="I220">
        <v>3.6562772360000002</v>
      </c>
    </row>
    <row r="221" spans="1:9">
      <c r="A221" t="s">
        <v>219</v>
      </c>
      <c r="B221">
        <v>3.7181169820000002</v>
      </c>
      <c r="C221">
        <v>3.86095605</v>
      </c>
      <c r="D221">
        <v>4.0329317969999998</v>
      </c>
      <c r="E221">
        <v>4.2802376100000004</v>
      </c>
      <c r="F221">
        <v>4.1017926500000002</v>
      </c>
      <c r="G221">
        <v>3.8680652929999999</v>
      </c>
      <c r="H221">
        <v>3.7296435149999998</v>
      </c>
      <c r="I221">
        <v>3.6141237080000002</v>
      </c>
    </row>
    <row r="222" spans="1:9">
      <c r="A222" t="s">
        <v>220</v>
      </c>
      <c r="B222">
        <v>3.6545065339999998</v>
      </c>
      <c r="C222">
        <v>3.86095605</v>
      </c>
      <c r="D222">
        <v>4.0329317969999998</v>
      </c>
      <c r="E222">
        <v>4.3406480360000002</v>
      </c>
      <c r="F222">
        <v>4.1492656009999997</v>
      </c>
      <c r="G222">
        <v>3.9865052090000002</v>
      </c>
      <c r="H222">
        <v>3.8685921009999999</v>
      </c>
      <c r="I222">
        <v>3.728672693</v>
      </c>
    </row>
    <row r="223" spans="1:9">
      <c r="A223" t="s">
        <v>221</v>
      </c>
      <c r="B223">
        <v>3.4659362909999998</v>
      </c>
      <c r="C223">
        <v>3.6749909569999999</v>
      </c>
      <c r="D223">
        <v>3.9131042580000002</v>
      </c>
      <c r="E223">
        <v>3.9932916829999998</v>
      </c>
      <c r="F223">
        <v>4.0439012879999998</v>
      </c>
      <c r="G223">
        <v>3.8982715020000001</v>
      </c>
      <c r="H223">
        <v>3.756747421</v>
      </c>
      <c r="I223">
        <v>3.6504292949999999</v>
      </c>
    </row>
    <row r="224" spans="1:9">
      <c r="A224" t="s">
        <v>222</v>
      </c>
      <c r="B224">
        <v>3.465754505</v>
      </c>
      <c r="C224">
        <v>3.798977115</v>
      </c>
      <c r="D224">
        <v>4.034163554</v>
      </c>
      <c r="E224">
        <v>4.1682920210000001</v>
      </c>
      <c r="F224">
        <v>4.198316782</v>
      </c>
      <c r="G224">
        <v>4.0424519820000002</v>
      </c>
      <c r="H224">
        <v>3.9221898789999998</v>
      </c>
      <c r="I224">
        <v>3.7939142590000001</v>
      </c>
    </row>
    <row r="225" spans="1:9">
      <c r="A225" t="s">
        <v>223</v>
      </c>
      <c r="B225">
        <v>4.0948172610000002</v>
      </c>
      <c r="C225">
        <v>4.0462052570000004</v>
      </c>
      <c r="D225">
        <v>4.0934159589999997</v>
      </c>
      <c r="E225">
        <v>4.5074233110000002</v>
      </c>
      <c r="F225">
        <v>4.4879829119999997</v>
      </c>
      <c r="G225">
        <v>4.302178402</v>
      </c>
      <c r="H225">
        <v>4.1508847659999999</v>
      </c>
      <c r="I225">
        <v>4.0344640849999998</v>
      </c>
    </row>
    <row r="226" spans="1:9">
      <c r="A226" t="s">
        <v>224</v>
      </c>
      <c r="B226">
        <v>5.1006327630000001</v>
      </c>
      <c r="C226">
        <v>4.8810324789999999</v>
      </c>
      <c r="D226">
        <v>4.9675765439999999</v>
      </c>
      <c r="E226">
        <v>4.9970993520000002</v>
      </c>
      <c r="F226">
        <v>4.8175184389999997</v>
      </c>
      <c r="G226">
        <v>4.654994791</v>
      </c>
      <c r="H226">
        <v>4.5370564709999996</v>
      </c>
      <c r="I226">
        <v>4.3991485509999997</v>
      </c>
    </row>
    <row r="227" spans="1:9">
      <c r="A227" t="s">
        <v>225</v>
      </c>
      <c r="B227">
        <v>5.7291406780000003</v>
      </c>
      <c r="C227">
        <v>5.5924720920000004</v>
      </c>
      <c r="D227">
        <v>5.7213456410000001</v>
      </c>
      <c r="E227">
        <v>5.7122345120000002</v>
      </c>
      <c r="F227">
        <v>5.4153911340000001</v>
      </c>
      <c r="G227">
        <v>5.1942042810000002</v>
      </c>
      <c r="H227">
        <v>4.9200910809999998</v>
      </c>
      <c r="I227">
        <v>4.7317956719999996</v>
      </c>
    </row>
    <row r="228" spans="1:9">
      <c r="A228" t="s">
        <v>226</v>
      </c>
      <c r="B228">
        <v>5.6663313000000004</v>
      </c>
      <c r="C228">
        <v>5.7158660010000002</v>
      </c>
      <c r="D228">
        <v>5.9030694600000002</v>
      </c>
      <c r="E228">
        <v>5.8854833209999997</v>
      </c>
      <c r="F228">
        <v>5.7409434250000002</v>
      </c>
      <c r="G228">
        <v>5.3861473560000004</v>
      </c>
      <c r="H228">
        <v>5.0820361219999999</v>
      </c>
      <c r="I228">
        <v>4.8956506659999999</v>
      </c>
    </row>
    <row r="229" spans="1:9">
      <c r="A229" t="s">
        <v>227</v>
      </c>
      <c r="B229">
        <v>5.7291406780000003</v>
      </c>
      <c r="C229">
        <v>6.0867634500000003</v>
      </c>
      <c r="D229">
        <v>6.3243211099999996</v>
      </c>
      <c r="E229">
        <v>6.1187142469999998</v>
      </c>
      <c r="F229">
        <v>5.7337967909999996</v>
      </c>
      <c r="G229">
        <v>5.353496711</v>
      </c>
      <c r="H229">
        <v>5.0735562820000002</v>
      </c>
      <c r="I229">
        <v>4.8668628749999998</v>
      </c>
    </row>
    <row r="230" spans="1:9">
      <c r="A230" t="s">
        <v>228</v>
      </c>
      <c r="B230">
        <v>5.9178588689999998</v>
      </c>
      <c r="C230">
        <v>6.2716398529999999</v>
      </c>
      <c r="D230">
        <v>6.3841720239999997</v>
      </c>
      <c r="E230">
        <v>6.178825443</v>
      </c>
      <c r="F230">
        <v>5.7164729830000001</v>
      </c>
      <c r="G230">
        <v>5.2878895950000002</v>
      </c>
      <c r="H230">
        <v>4.9784051189999996</v>
      </c>
      <c r="I230">
        <v>4.7622987779999999</v>
      </c>
    </row>
    <row r="231" spans="1:9">
      <c r="A231" t="s">
        <v>229</v>
      </c>
      <c r="B231">
        <v>5.8562860179999996</v>
      </c>
      <c r="C231">
        <v>6.3381651320000003</v>
      </c>
      <c r="D231">
        <v>6.5157022099999997</v>
      </c>
      <c r="E231">
        <v>6.3705302059999998</v>
      </c>
      <c r="F231">
        <v>5.8625081100000003</v>
      </c>
      <c r="G231">
        <v>5.3833286960000004</v>
      </c>
      <c r="H231">
        <v>5.0435646470000002</v>
      </c>
      <c r="I231">
        <v>4.8282736030000004</v>
      </c>
    </row>
    <row r="232" spans="1:9">
      <c r="A232" t="s">
        <v>230</v>
      </c>
      <c r="B232">
        <v>5.856593191</v>
      </c>
      <c r="C232">
        <v>5.9063879180000001</v>
      </c>
      <c r="D232">
        <v>6.0958690659999997</v>
      </c>
      <c r="E232">
        <v>5.9698882739999997</v>
      </c>
      <c r="F232">
        <v>5.7268162909999996</v>
      </c>
      <c r="G232">
        <v>5.3032731850000001</v>
      </c>
      <c r="H232">
        <v>4.9813291570000002</v>
      </c>
      <c r="I232">
        <v>4.7410837069999996</v>
      </c>
    </row>
    <row r="233" spans="1:9">
      <c r="A233" t="s">
        <v>231</v>
      </c>
      <c r="B233">
        <v>6.0450403010000002</v>
      </c>
      <c r="C233">
        <v>6.2784618959999996</v>
      </c>
      <c r="D233">
        <v>6.3977880750000002</v>
      </c>
      <c r="E233">
        <v>6.2041487030000004</v>
      </c>
      <c r="F233">
        <v>5.9949818260000001</v>
      </c>
      <c r="G233">
        <v>5.5453780469999998</v>
      </c>
      <c r="H233">
        <v>5.1766335769999996</v>
      </c>
      <c r="I233">
        <v>4.9372626830000002</v>
      </c>
    </row>
    <row r="234" spans="1:9">
      <c r="A234" t="s">
        <v>232</v>
      </c>
      <c r="B234">
        <v>6.0450403010000002</v>
      </c>
      <c r="C234">
        <v>6.2158140209999999</v>
      </c>
      <c r="D234">
        <v>6.3997371510000001</v>
      </c>
      <c r="E234">
        <v>6.3779879839999998</v>
      </c>
      <c r="F234">
        <v>5.9505871060000004</v>
      </c>
      <c r="G234">
        <v>5.4799524850000001</v>
      </c>
      <c r="H234">
        <v>5.1502345749999998</v>
      </c>
      <c r="I234">
        <v>4.9237169869999997</v>
      </c>
    </row>
    <row r="235" spans="1:9">
      <c r="A235" t="s">
        <v>233</v>
      </c>
      <c r="B235">
        <v>5.9194120379999999</v>
      </c>
      <c r="C235">
        <v>6.0933859010000004</v>
      </c>
      <c r="D235">
        <v>6.1596536630000003</v>
      </c>
      <c r="E235">
        <v>6.0977265190000001</v>
      </c>
      <c r="F235">
        <v>5.7047225319999999</v>
      </c>
      <c r="G235">
        <v>5.2231963989999999</v>
      </c>
      <c r="H235">
        <v>4.9351355210000003</v>
      </c>
      <c r="I235">
        <v>4.707966645</v>
      </c>
    </row>
    <row r="236" spans="1:9">
      <c r="A236" t="s">
        <v>234</v>
      </c>
      <c r="B236">
        <v>5.66811621</v>
      </c>
      <c r="C236">
        <v>5.7847357170000002</v>
      </c>
      <c r="D236">
        <v>5.7989859959999999</v>
      </c>
      <c r="E236">
        <v>5.6449654220000003</v>
      </c>
      <c r="F236">
        <v>5.2736226510000002</v>
      </c>
      <c r="G236">
        <v>4.8138701580000003</v>
      </c>
      <c r="H236">
        <v>4.4846805940000003</v>
      </c>
      <c r="I236">
        <v>4.2475840849999997</v>
      </c>
    </row>
    <row r="237" spans="1:9">
      <c r="A237" t="s">
        <v>235</v>
      </c>
      <c r="B237">
        <v>5.4167674679999998</v>
      </c>
      <c r="C237">
        <v>5.4758473829999996</v>
      </c>
      <c r="D237">
        <v>5.5598769770000001</v>
      </c>
      <c r="E237">
        <v>5.470078794</v>
      </c>
      <c r="F237">
        <v>5.2591021600000003</v>
      </c>
      <c r="G237">
        <v>4.7960163219999998</v>
      </c>
      <c r="H237">
        <v>4.4540212549999998</v>
      </c>
      <c r="I237">
        <v>4.2166175780000001</v>
      </c>
    </row>
    <row r="238" spans="1:9">
      <c r="A238" t="s">
        <v>236</v>
      </c>
      <c r="B238">
        <v>5.856593191</v>
      </c>
      <c r="C238">
        <v>6.0326132360000004</v>
      </c>
      <c r="D238">
        <v>6.0413459720000002</v>
      </c>
      <c r="E238">
        <v>6.0211535400000002</v>
      </c>
      <c r="F238">
        <v>5.551547072</v>
      </c>
      <c r="G238">
        <v>5.0729536130000001</v>
      </c>
      <c r="H238">
        <v>4.649558453</v>
      </c>
      <c r="I238">
        <v>4.3933053639999997</v>
      </c>
    </row>
    <row r="239" spans="1:9">
      <c r="A239" t="s">
        <v>237</v>
      </c>
      <c r="B239">
        <v>6.2337851280000001</v>
      </c>
      <c r="C239">
        <v>6.27943827</v>
      </c>
      <c r="D239">
        <v>6.3436113350000003</v>
      </c>
      <c r="E239">
        <v>6.2260201500000001</v>
      </c>
      <c r="F239">
        <v>5.7451078180000001</v>
      </c>
      <c r="G239">
        <v>5.2868253599999999</v>
      </c>
      <c r="H239">
        <v>4.8952998799999996</v>
      </c>
      <c r="I239">
        <v>4.5949122879999997</v>
      </c>
    </row>
    <row r="240" spans="1:9">
      <c r="A240" t="s">
        <v>238</v>
      </c>
      <c r="B240">
        <v>6.1081698649999998</v>
      </c>
      <c r="C240">
        <v>6.0952813189999997</v>
      </c>
      <c r="D240">
        <v>6.1051736480000001</v>
      </c>
      <c r="E240">
        <v>6.0015109339999997</v>
      </c>
      <c r="F240">
        <v>5.8765438999999997</v>
      </c>
      <c r="G240">
        <v>5.3720263109999999</v>
      </c>
      <c r="H240">
        <v>5.0096148090000003</v>
      </c>
      <c r="I240">
        <v>4.685564888</v>
      </c>
    </row>
    <row r="241" spans="1:9">
      <c r="A241" t="s">
        <v>239</v>
      </c>
      <c r="B241">
        <v>6.2337851280000001</v>
      </c>
      <c r="C241">
        <v>6.4037884390000004</v>
      </c>
      <c r="D241">
        <v>6.4055943500000003</v>
      </c>
      <c r="E241">
        <v>6.4004664900000003</v>
      </c>
      <c r="F241">
        <v>5.98206521</v>
      </c>
      <c r="G241">
        <v>5.4910695020000002</v>
      </c>
      <c r="H241">
        <v>5.0880663549999996</v>
      </c>
      <c r="I241">
        <v>4.7870421179999996</v>
      </c>
    </row>
    <row r="242" spans="1:9">
      <c r="A242" t="s">
        <v>240</v>
      </c>
      <c r="B242">
        <v>6.233457939</v>
      </c>
      <c r="C242">
        <v>6.4644565580000002</v>
      </c>
      <c r="D242">
        <v>6.614562759</v>
      </c>
      <c r="E242">
        <v>6.5103400420000002</v>
      </c>
      <c r="F242">
        <v>5.9452963109999999</v>
      </c>
      <c r="G242">
        <v>5.4476219639999997</v>
      </c>
      <c r="H242">
        <v>5.0672947959999997</v>
      </c>
      <c r="I242">
        <v>4.7675202499999996</v>
      </c>
    </row>
    <row r="243" spans="1:9">
      <c r="A243" t="s">
        <v>241</v>
      </c>
      <c r="B243">
        <v>6.013110674</v>
      </c>
      <c r="C243">
        <v>6.2774867859999999</v>
      </c>
      <c r="D243">
        <v>6.4597132930000001</v>
      </c>
      <c r="E243">
        <v>6.3286961479999997</v>
      </c>
      <c r="F243">
        <v>5.8593178720000001</v>
      </c>
      <c r="G243">
        <v>5.4004539989999998</v>
      </c>
      <c r="H243">
        <v>5.0292430640000001</v>
      </c>
      <c r="I243">
        <v>4.717086943</v>
      </c>
    </row>
    <row r="244" spans="1:9">
      <c r="A244" t="s">
        <v>242</v>
      </c>
      <c r="B244">
        <v>6.1078496800000002</v>
      </c>
      <c r="C244">
        <v>6.2784618959999996</v>
      </c>
      <c r="D244">
        <v>6.430658244</v>
      </c>
      <c r="E244">
        <v>6.2718968029999997</v>
      </c>
      <c r="F244">
        <v>5.748532397</v>
      </c>
      <c r="G244">
        <v>5.2202576540000001</v>
      </c>
      <c r="H244">
        <v>4.872074413</v>
      </c>
      <c r="I244">
        <v>4.5609385160000002</v>
      </c>
    </row>
    <row r="245" spans="1:9">
      <c r="A245" t="s">
        <v>243</v>
      </c>
      <c r="B245">
        <v>5.9197227549999996</v>
      </c>
      <c r="C245">
        <v>6.2177459700000002</v>
      </c>
      <c r="D245">
        <v>6.3436113350000003</v>
      </c>
      <c r="E245">
        <v>6.1654355169999997</v>
      </c>
      <c r="F245">
        <v>5.6387598969999999</v>
      </c>
      <c r="G245">
        <v>5.1305667570000004</v>
      </c>
      <c r="H245">
        <v>4.7610638720000003</v>
      </c>
      <c r="I245">
        <v>4.4388206060000002</v>
      </c>
    </row>
    <row r="246" spans="1:9">
      <c r="A246" t="s">
        <v>244</v>
      </c>
      <c r="B246">
        <v>6.1706555649999997</v>
      </c>
      <c r="C246">
        <v>6.5250969650000004</v>
      </c>
      <c r="D246">
        <v>6.6415568660000002</v>
      </c>
      <c r="E246">
        <v>6.4459745609999999</v>
      </c>
      <c r="F246">
        <v>5.8935205829999999</v>
      </c>
      <c r="G246">
        <v>5.3957417080000001</v>
      </c>
      <c r="H246">
        <v>4.9844809620000001</v>
      </c>
      <c r="I246">
        <v>4.6743264069999997</v>
      </c>
    </row>
    <row r="247" spans="1:9">
      <c r="A247" t="s">
        <v>245</v>
      </c>
      <c r="B247">
        <v>5.9822274479999997</v>
      </c>
      <c r="C247">
        <v>6.1550875100000004</v>
      </c>
      <c r="D247">
        <v>6.2215990899999998</v>
      </c>
      <c r="E247">
        <v>6.1654355169999997</v>
      </c>
      <c r="F247">
        <v>5.62955498</v>
      </c>
      <c r="G247">
        <v>5.1416973649999997</v>
      </c>
      <c r="H247">
        <v>4.7509295419999997</v>
      </c>
      <c r="I247">
        <v>4.4399501020000001</v>
      </c>
    </row>
    <row r="248" spans="1:9">
      <c r="A248" t="s">
        <v>246</v>
      </c>
      <c r="B248">
        <v>6.1078496800000002</v>
      </c>
      <c r="C248">
        <v>6.2784618959999996</v>
      </c>
      <c r="D248">
        <v>6.3416769979999996</v>
      </c>
      <c r="E248">
        <v>6.1654355169999997</v>
      </c>
      <c r="F248">
        <v>5.555061566</v>
      </c>
      <c r="G248">
        <v>5.0689724759999999</v>
      </c>
      <c r="H248">
        <v>4.7102899239999996</v>
      </c>
      <c r="I248">
        <v>4.3994623580000001</v>
      </c>
    </row>
    <row r="249" spans="1:9">
      <c r="A249" t="s">
        <v>247</v>
      </c>
      <c r="B249">
        <v>5.9200326749999999</v>
      </c>
      <c r="C249">
        <v>6.0335509170000003</v>
      </c>
      <c r="D249">
        <v>6.043190633</v>
      </c>
      <c r="E249">
        <v>5.94438713</v>
      </c>
      <c r="F249">
        <v>5.4294616009999999</v>
      </c>
      <c r="G249">
        <v>4.9306575270000002</v>
      </c>
      <c r="H249">
        <v>4.5603781149999998</v>
      </c>
      <c r="I249">
        <v>4.249017201</v>
      </c>
    </row>
    <row r="250" spans="1:9">
      <c r="A250" t="s">
        <v>248</v>
      </c>
      <c r="B250">
        <v>5.66811621</v>
      </c>
      <c r="C250">
        <v>5.847394177</v>
      </c>
      <c r="D250">
        <v>5.8627216100000004</v>
      </c>
      <c r="E250">
        <v>5.651612772</v>
      </c>
      <c r="F250">
        <v>5.2196000290000004</v>
      </c>
      <c r="G250">
        <v>4.7395136740000003</v>
      </c>
      <c r="H250">
        <v>4.3893094530000001</v>
      </c>
      <c r="I250">
        <v>4.0870468500000001</v>
      </c>
    </row>
    <row r="251" spans="1:9">
      <c r="A251" t="s">
        <v>249</v>
      </c>
      <c r="B251">
        <v>5.794683043</v>
      </c>
      <c r="C251">
        <v>5.8492133070000003</v>
      </c>
      <c r="D251">
        <v>5.926515201</v>
      </c>
      <c r="E251">
        <v>5.8334768959999996</v>
      </c>
      <c r="F251">
        <v>5.3826575710000002</v>
      </c>
      <c r="G251">
        <v>4.9030580490000002</v>
      </c>
      <c r="H251">
        <v>4.4904834070000001</v>
      </c>
      <c r="I251">
        <v>4.1787705959999997</v>
      </c>
    </row>
    <row r="252" spans="1:9">
      <c r="A252" t="s">
        <v>250</v>
      </c>
      <c r="B252">
        <v>5.8578221670000001</v>
      </c>
      <c r="C252">
        <v>5.9119015749999999</v>
      </c>
      <c r="D252">
        <v>5.988536807</v>
      </c>
      <c r="E252">
        <v>5.8941718439999997</v>
      </c>
      <c r="F252">
        <v>5.5367261509999999</v>
      </c>
      <c r="G252">
        <v>5.0509754349999998</v>
      </c>
      <c r="H252">
        <v>4.6011736089999999</v>
      </c>
      <c r="I252">
        <v>4.2905658239999998</v>
      </c>
    </row>
    <row r="253" spans="1:9">
      <c r="A253" t="s">
        <v>251</v>
      </c>
      <c r="B253">
        <v>5.9209657160000004</v>
      </c>
      <c r="C253">
        <v>5.9745994480000002</v>
      </c>
      <c r="D253">
        <v>6.0505777270000003</v>
      </c>
      <c r="E253">
        <v>5.9298242329999997</v>
      </c>
      <c r="F253">
        <v>5.514015186</v>
      </c>
      <c r="G253">
        <v>5.0244355110000001</v>
      </c>
      <c r="H253">
        <v>4.5809990330000003</v>
      </c>
      <c r="I253">
        <v>4.216263144</v>
      </c>
    </row>
    <row r="254" spans="1:9">
      <c r="A254" t="s">
        <v>252</v>
      </c>
      <c r="B254">
        <v>5.9841117559999999</v>
      </c>
      <c r="C254">
        <v>5.9446861999999996</v>
      </c>
      <c r="D254">
        <v>5.8716861070000004</v>
      </c>
      <c r="E254">
        <v>5.7004116800000002</v>
      </c>
      <c r="F254">
        <v>5.3655271750000004</v>
      </c>
      <c r="G254">
        <v>4.885196981</v>
      </c>
      <c r="H254">
        <v>4.5359544170000001</v>
      </c>
      <c r="I254">
        <v>4.1694770630000004</v>
      </c>
    </row>
    <row r="255" spans="1:9">
      <c r="A255" t="s">
        <v>253</v>
      </c>
      <c r="B255">
        <v>6.0155785039999996</v>
      </c>
      <c r="C255">
        <v>5.9446861999999996</v>
      </c>
      <c r="D255">
        <v>5.9018690810000001</v>
      </c>
      <c r="E255">
        <v>5.7324575109999998</v>
      </c>
      <c r="F255">
        <v>5.5682179439999997</v>
      </c>
      <c r="G255">
        <v>5.1455283469999999</v>
      </c>
      <c r="H255">
        <v>4.7512962080000003</v>
      </c>
      <c r="I255">
        <v>4.4283166940000003</v>
      </c>
    </row>
    <row r="256" spans="1:9">
      <c r="A256" t="s">
        <v>254</v>
      </c>
      <c r="B256">
        <v>6.3617235020000003</v>
      </c>
      <c r="C256">
        <v>6.4097659379999996</v>
      </c>
      <c r="D256">
        <v>6.5375991920000001</v>
      </c>
      <c r="E256">
        <v>6.3126123080000003</v>
      </c>
      <c r="F256">
        <v>5.8345974429999998</v>
      </c>
      <c r="G256">
        <v>5.3145126520000003</v>
      </c>
      <c r="H256">
        <v>4.9032755579999998</v>
      </c>
      <c r="I256">
        <v>4.5597674970000002</v>
      </c>
    </row>
    <row r="257" spans="1:13">
      <c r="A257" t="s">
        <v>255</v>
      </c>
      <c r="B257">
        <v>6.267209942</v>
      </c>
      <c r="C257">
        <v>6.4714963399999998</v>
      </c>
      <c r="D257">
        <v>6.5075900500000001</v>
      </c>
      <c r="E257">
        <v>6.2231872480000003</v>
      </c>
      <c r="F257">
        <v>5.8496985060000002</v>
      </c>
      <c r="G257">
        <v>5.3496549440000001</v>
      </c>
      <c r="H257">
        <v>4.9590032539999997</v>
      </c>
      <c r="I257">
        <v>4.6377492990000002</v>
      </c>
    </row>
    <row r="258" spans="1:13">
      <c r="A258" t="s">
        <v>256</v>
      </c>
      <c r="B258">
        <v>6.3617235020000003</v>
      </c>
      <c r="C258">
        <v>6.5332165509999998</v>
      </c>
      <c r="D258">
        <v>6.5997174870000004</v>
      </c>
      <c r="E258">
        <v>6.3735290969999996</v>
      </c>
      <c r="F258">
        <v>5.815657496</v>
      </c>
      <c r="G258">
        <v>5.286708247</v>
      </c>
      <c r="H258">
        <v>4.8869582249999999</v>
      </c>
      <c r="I258">
        <v>4.5674505959999996</v>
      </c>
    </row>
    <row r="259" spans="1:13">
      <c r="A259" t="s">
        <v>257</v>
      </c>
      <c r="B259">
        <v>6.235747452</v>
      </c>
      <c r="C259">
        <v>6.4396809089999998</v>
      </c>
      <c r="D259">
        <v>6.4153802259999999</v>
      </c>
      <c r="E259">
        <v>6.251732606</v>
      </c>
      <c r="F259">
        <v>5.8095238169999996</v>
      </c>
      <c r="G259">
        <v>5.3305872990000003</v>
      </c>
      <c r="H259">
        <v>4.9821343499999999</v>
      </c>
      <c r="I259">
        <v>4.6617505049999997</v>
      </c>
    </row>
    <row r="260" spans="1:13">
      <c r="A260" t="s">
        <v>258</v>
      </c>
      <c r="B260">
        <v>6.8010304049999997</v>
      </c>
      <c r="C260">
        <v>6.9022671180000001</v>
      </c>
      <c r="D260">
        <v>6.8358435589999997</v>
      </c>
      <c r="E260">
        <v>6.5941823279999996</v>
      </c>
      <c r="F260">
        <v>6.2097222729999997</v>
      </c>
      <c r="G260">
        <v>5.730217025</v>
      </c>
      <c r="H260">
        <v>5.318364796</v>
      </c>
      <c r="I260">
        <v>4.9887203339999999</v>
      </c>
    </row>
    <row r="261" spans="1:13">
      <c r="A261" t="s">
        <v>259</v>
      </c>
      <c r="B261">
        <v>6.4870177299999998</v>
      </c>
      <c r="C261">
        <v>6.5332165509999998</v>
      </c>
      <c r="D261">
        <v>6.5375991920000001</v>
      </c>
      <c r="E261">
        <v>6.3126123080000003</v>
      </c>
      <c r="F261">
        <v>5.8589480199999997</v>
      </c>
      <c r="G261">
        <v>5.4009015429999998</v>
      </c>
      <c r="H261">
        <v>5.0208046819999996</v>
      </c>
      <c r="I261">
        <v>4.7127065720000001</v>
      </c>
    </row>
    <row r="262" spans="1:13">
      <c r="A262" t="s">
        <v>260</v>
      </c>
      <c r="B262">
        <v>6.5505140329999998</v>
      </c>
      <c r="C262">
        <v>6.5332165509999998</v>
      </c>
      <c r="D262">
        <v>6.4173409809999997</v>
      </c>
      <c r="E262">
        <v>6.2591171860000001</v>
      </c>
      <c r="F262">
        <v>5.9341643990000001</v>
      </c>
      <c r="G262">
        <v>5.494785244</v>
      </c>
      <c r="H262">
        <v>5.1253903599999999</v>
      </c>
      <c r="I262">
        <v>4.7826269589999999</v>
      </c>
    </row>
    <row r="263" spans="1:13">
      <c r="A263" t="s">
        <v>261</v>
      </c>
      <c r="B263">
        <v>6.6768366859999997</v>
      </c>
      <c r="C263">
        <v>6.6587004969999999</v>
      </c>
      <c r="D263">
        <v>6.6638912179999998</v>
      </c>
      <c r="E263">
        <v>6.4954750749999999</v>
      </c>
      <c r="F263">
        <v>6.0904565770000003</v>
      </c>
      <c r="G263">
        <v>5.6421305909999999</v>
      </c>
      <c r="H263">
        <v>5.22088749</v>
      </c>
      <c r="I263">
        <v>4.858225537</v>
      </c>
    </row>
    <row r="264" spans="1:13">
      <c r="A264" t="s">
        <v>262</v>
      </c>
      <c r="B264">
        <v>6.6768366859999997</v>
      </c>
      <c r="C264">
        <v>6.5342335269999996</v>
      </c>
      <c r="D264">
        <v>6.6057731549999996</v>
      </c>
      <c r="E264">
        <v>6.3848368530000004</v>
      </c>
      <c r="F264">
        <v>6.0603179410000001</v>
      </c>
      <c r="G264">
        <v>5.5997989070000003</v>
      </c>
      <c r="H264">
        <v>5.261930757</v>
      </c>
      <c r="I264">
        <v>4.8848853930000002</v>
      </c>
    </row>
    <row r="265" spans="1:13">
      <c r="A265" t="s">
        <v>263</v>
      </c>
      <c r="B265">
        <v>6.5503425240000004</v>
      </c>
      <c r="C265">
        <v>6.5661657760000001</v>
      </c>
      <c r="D265">
        <v>6.5135595129999997</v>
      </c>
      <c r="E265">
        <v>6.4459024390000002</v>
      </c>
      <c r="F265">
        <v>6.0813960219999998</v>
      </c>
      <c r="G265">
        <v>5.6421460760000004</v>
      </c>
      <c r="H265">
        <v>5.2628130510000002</v>
      </c>
      <c r="I265">
        <v>4.9092079970000002</v>
      </c>
    </row>
    <row r="266" spans="1:13">
      <c r="A266" t="s">
        <v>264</v>
      </c>
      <c r="B266">
        <v>6.4242048760000001</v>
      </c>
      <c r="C266">
        <v>6.4725031240000002</v>
      </c>
      <c r="D266">
        <v>6.4834221950000002</v>
      </c>
      <c r="E266">
        <v>6.3886150099999996</v>
      </c>
      <c r="F266">
        <v>5.9999450100000002</v>
      </c>
      <c r="G266">
        <v>5.5817203900000001</v>
      </c>
      <c r="H266">
        <v>5.2025888729999998</v>
      </c>
      <c r="I266">
        <v>4.8499344689999999</v>
      </c>
    </row>
    <row r="267" spans="1:13">
      <c r="A267" t="s">
        <v>265</v>
      </c>
      <c r="B267">
        <v>6.3297641750000002</v>
      </c>
      <c r="C267">
        <v>6.4107643369999998</v>
      </c>
      <c r="D267">
        <v>6.5155523999999998</v>
      </c>
      <c r="E267">
        <v>6.331294744</v>
      </c>
      <c r="F267">
        <v>5.9844950370000003</v>
      </c>
      <c r="G267">
        <v>5.5556684340000002</v>
      </c>
      <c r="H267">
        <v>5.1866289989999999</v>
      </c>
      <c r="I267">
        <v>4.8445736430000004</v>
      </c>
    </row>
    <row r="268" spans="1:13">
      <c r="A268" t="s">
        <v>266</v>
      </c>
      <c r="B268">
        <v>6.6126329930000001</v>
      </c>
      <c r="C268">
        <v>6.7214568229999996</v>
      </c>
      <c r="D268">
        <v>6.6679690190000001</v>
      </c>
      <c r="E268">
        <v>6.4497179090000003</v>
      </c>
      <c r="F268">
        <v>5.9532336639999999</v>
      </c>
      <c r="G268">
        <v>5.4964873619999999</v>
      </c>
      <c r="H268">
        <v>5.0869555289999999</v>
      </c>
      <c r="I268">
        <v>4.7133657580000001</v>
      </c>
    </row>
    <row r="269" spans="1:13">
      <c r="A269" t="s">
        <v>267</v>
      </c>
      <c r="B269">
        <v>6.4398834430000003</v>
      </c>
      <c r="C269">
        <v>6.5980062100000003</v>
      </c>
      <c r="D269">
        <v>6.4873909479999998</v>
      </c>
      <c r="E269">
        <v>6.3350445019999997</v>
      </c>
      <c r="F269">
        <v>5.8826638730000003</v>
      </c>
      <c r="G269">
        <v>5.4150025499999996</v>
      </c>
      <c r="H269">
        <v>4.984086445</v>
      </c>
      <c r="I269">
        <v>4.610182365</v>
      </c>
      <c r="L269">
        <v>1.3657289542313E-3</v>
      </c>
      <c r="M269">
        <f t="shared" ref="M269:M300" si="0">L269*5200</f>
        <v>7.1017905620027602</v>
      </c>
    </row>
    <row r="270" spans="1:13">
      <c r="A270" t="s">
        <v>268</v>
      </c>
      <c r="B270">
        <v>6.6771876170000004</v>
      </c>
      <c r="C270">
        <v>6.6000608029999999</v>
      </c>
      <c r="D270">
        <v>6.55161091</v>
      </c>
      <c r="E270">
        <v>6.2239277089999998</v>
      </c>
      <c r="F270">
        <v>5.7606464070000003</v>
      </c>
      <c r="G270">
        <v>5.31391597</v>
      </c>
      <c r="H270">
        <v>4.9258756379999999</v>
      </c>
      <c r="I270">
        <v>4.5514326939999998</v>
      </c>
      <c r="L270">
        <v>1.4082292570601501E-3</v>
      </c>
      <c r="M270">
        <f t="shared" si="0"/>
        <v>7.3227921367127804</v>
      </c>
    </row>
    <row r="271" spans="1:13">
      <c r="A271" t="s">
        <v>269</v>
      </c>
      <c r="B271">
        <v>6.583008092</v>
      </c>
      <c r="C271">
        <v>6.4611152130000002</v>
      </c>
      <c r="D271">
        <v>6.3727673569999999</v>
      </c>
      <c r="E271">
        <v>6.0838094099999998</v>
      </c>
      <c r="F271">
        <v>5.7437794870000003</v>
      </c>
      <c r="G271">
        <v>5.3055989710000002</v>
      </c>
      <c r="H271">
        <v>4.8643476980000004</v>
      </c>
      <c r="I271">
        <v>4.4704902129999997</v>
      </c>
      <c r="L271">
        <v>1.38187682774232E-3</v>
      </c>
      <c r="M271">
        <f t="shared" si="0"/>
        <v>7.1857595042600639</v>
      </c>
    </row>
    <row r="272" spans="1:13">
      <c r="A272" t="s">
        <v>270</v>
      </c>
      <c r="B272">
        <v>6.2537451720000004</v>
      </c>
      <c r="C272">
        <v>6.2789238760000003</v>
      </c>
      <c r="D272">
        <v>6.1809488110000004</v>
      </c>
      <c r="E272">
        <v>5.8194004049999997</v>
      </c>
      <c r="F272">
        <v>5.5076379830000004</v>
      </c>
      <c r="G272">
        <v>5.0686587850000002</v>
      </c>
      <c r="H272">
        <v>4.6698722909999999</v>
      </c>
      <c r="I272">
        <v>4.2975616680000002</v>
      </c>
      <c r="L272">
        <v>1.3075413107042E-3</v>
      </c>
      <c r="M272">
        <f t="shared" si="0"/>
        <v>6.7992148156618395</v>
      </c>
    </row>
    <row r="273" spans="1:13">
      <c r="A273" t="s">
        <v>271</v>
      </c>
      <c r="B273">
        <v>6.4269042890000003</v>
      </c>
      <c r="C273">
        <v>6.2332497299999998</v>
      </c>
      <c r="D273">
        <v>6.074711829</v>
      </c>
      <c r="E273">
        <v>5.7479600660000001</v>
      </c>
      <c r="F273">
        <v>5.320414339</v>
      </c>
      <c r="G273">
        <v>4.8427226149999996</v>
      </c>
      <c r="H273">
        <v>4.4335825550000001</v>
      </c>
      <c r="I273">
        <v>4.1601344840000003</v>
      </c>
      <c r="L273">
        <v>1.33838741797208E-3</v>
      </c>
      <c r="M273">
        <f t="shared" si="0"/>
        <v>6.9596145734548163</v>
      </c>
    </row>
    <row r="274" spans="1:13">
      <c r="A274" t="s">
        <v>272</v>
      </c>
      <c r="B274">
        <v>6.4433492210000001</v>
      </c>
      <c r="C274">
        <v>6.4531326299999998</v>
      </c>
      <c r="D274">
        <v>6.2323904419999998</v>
      </c>
      <c r="E274">
        <v>5.8434004890000004</v>
      </c>
      <c r="F274">
        <v>5.2021664019999996</v>
      </c>
      <c r="G274">
        <v>4.6744146860000004</v>
      </c>
      <c r="H274">
        <v>4.2447011999999997</v>
      </c>
      <c r="I274">
        <v>3.9161686649999998</v>
      </c>
      <c r="L274">
        <v>1.33713032109711E-3</v>
      </c>
      <c r="M274">
        <f t="shared" si="0"/>
        <v>6.9530776697049719</v>
      </c>
    </row>
    <row r="275" spans="1:13">
      <c r="A275" t="s">
        <v>273</v>
      </c>
      <c r="B275">
        <v>6.365064158</v>
      </c>
      <c r="C275">
        <v>6.2671524529999996</v>
      </c>
      <c r="D275">
        <v>6.0033190980000004</v>
      </c>
      <c r="E275">
        <v>5.6047660580000001</v>
      </c>
      <c r="F275">
        <v>5.0151449550000002</v>
      </c>
      <c r="G275">
        <v>4.4866547509999997</v>
      </c>
      <c r="H275">
        <v>4.0771673359999996</v>
      </c>
      <c r="I275">
        <v>3.791449085</v>
      </c>
      <c r="L275">
        <v>1.3167960035104899E-3</v>
      </c>
      <c r="M275">
        <f t="shared" si="0"/>
        <v>6.8473392182545476</v>
      </c>
    </row>
    <row r="276" spans="1:13">
      <c r="A276" t="s">
        <v>274</v>
      </c>
      <c r="B276">
        <v>6.396540978</v>
      </c>
      <c r="C276">
        <v>6.220477593</v>
      </c>
      <c r="D276">
        <v>5.9885785140000003</v>
      </c>
      <c r="E276">
        <v>5.6354839859999997</v>
      </c>
      <c r="F276">
        <v>5.319123544</v>
      </c>
      <c r="G276">
        <v>4.7552514129999999</v>
      </c>
      <c r="H276">
        <v>4.3438797070000001</v>
      </c>
      <c r="I276">
        <v>4.0567433990000001</v>
      </c>
      <c r="L276">
        <v>1.31944618031256E-3</v>
      </c>
      <c r="M276">
        <f t="shared" si="0"/>
        <v>6.8611201376253117</v>
      </c>
    </row>
    <row r="277" spans="1:13">
      <c r="A277" t="s">
        <v>275</v>
      </c>
      <c r="B277">
        <v>6.6789376379999998</v>
      </c>
      <c r="C277">
        <v>6.5745464760000001</v>
      </c>
      <c r="D277">
        <v>6.4963449439999996</v>
      </c>
      <c r="E277">
        <v>6.0678674020000001</v>
      </c>
      <c r="F277">
        <v>5.1667324819999996</v>
      </c>
      <c r="G277">
        <v>4.6112758319999996</v>
      </c>
      <c r="H277">
        <v>4.255409513</v>
      </c>
      <c r="I277">
        <v>3.9802430630000001</v>
      </c>
      <c r="L277">
        <v>1.3737197814786999E-3</v>
      </c>
      <c r="M277">
        <f t="shared" si="0"/>
        <v>7.1433428636892398</v>
      </c>
    </row>
    <row r="278" spans="1:13">
      <c r="A278" t="s">
        <v>276</v>
      </c>
      <c r="B278">
        <v>6.6958154160000003</v>
      </c>
      <c r="C278">
        <v>6.6210575800000004</v>
      </c>
      <c r="D278">
        <v>6.1936642080000004</v>
      </c>
      <c r="E278">
        <v>5.9588782130000002</v>
      </c>
      <c r="F278">
        <v>5.0462789219999999</v>
      </c>
      <c r="G278">
        <v>4.4614648770000001</v>
      </c>
      <c r="H278">
        <v>4.0020142239999998</v>
      </c>
      <c r="I278">
        <v>3.7289794889999999</v>
      </c>
      <c r="L278">
        <v>1.37380854938858E-3</v>
      </c>
      <c r="M278">
        <f t="shared" si="0"/>
        <v>7.1438044568206163</v>
      </c>
    </row>
    <row r="279" spans="1:13">
      <c r="A279" t="s">
        <v>277</v>
      </c>
      <c r="B279">
        <v>6.4130854279999996</v>
      </c>
      <c r="C279">
        <v>6.3910770210000001</v>
      </c>
      <c r="D279">
        <v>6.0789258129999997</v>
      </c>
      <c r="E279">
        <v>5.7189398669999996</v>
      </c>
      <c r="F279">
        <v>5.1793913219999999</v>
      </c>
      <c r="G279">
        <v>4.6295007190000002</v>
      </c>
      <c r="H279">
        <v>4.2306845690000001</v>
      </c>
      <c r="I279">
        <v>3.9545690310000001</v>
      </c>
      <c r="L279">
        <v>1.31313878445554E-3</v>
      </c>
      <c r="M279">
        <f t="shared" si="0"/>
        <v>6.8283216791688082</v>
      </c>
    </row>
    <row r="280" spans="1:13">
      <c r="A280" t="s">
        <v>278</v>
      </c>
      <c r="B280">
        <v>6.4445138980000003</v>
      </c>
      <c r="C280">
        <v>6.35890296</v>
      </c>
      <c r="D280">
        <v>6.1688915230000001</v>
      </c>
      <c r="E280">
        <v>5.8181503069999998</v>
      </c>
      <c r="F280">
        <v>5.1478467459999999</v>
      </c>
      <c r="G280">
        <v>4.5975413649999997</v>
      </c>
      <c r="H280">
        <v>4.1767861450000003</v>
      </c>
      <c r="I280">
        <v>3.900138127</v>
      </c>
      <c r="L280">
        <v>1.3167791699722901E-3</v>
      </c>
      <c r="M280">
        <f t="shared" si="0"/>
        <v>6.8472516838559079</v>
      </c>
    </row>
    <row r="281" spans="1:13">
      <c r="A281" t="s">
        <v>279</v>
      </c>
      <c r="B281">
        <v>6.5849517200000003</v>
      </c>
      <c r="C281">
        <v>6.4197562589999997</v>
      </c>
      <c r="D281">
        <v>6.1969544379999997</v>
      </c>
      <c r="E281">
        <v>5.7244290949999996</v>
      </c>
      <c r="F281">
        <v>5.1395970130000004</v>
      </c>
      <c r="G281">
        <v>4.6300133619999997</v>
      </c>
      <c r="H281">
        <v>4.2504836389999996</v>
      </c>
      <c r="I281">
        <v>3.9732392339999998</v>
      </c>
      <c r="L281">
        <v>1.34270112795717E-3</v>
      </c>
      <c r="M281">
        <f t="shared" si="0"/>
        <v>6.9820458653772839</v>
      </c>
    </row>
    <row r="282" spans="1:13">
      <c r="A282" t="s">
        <v>280</v>
      </c>
      <c r="B282">
        <v>6.6474640880000004</v>
      </c>
      <c r="C282">
        <v>6.5919136659999999</v>
      </c>
      <c r="D282">
        <v>6.3332155769999998</v>
      </c>
      <c r="E282">
        <v>5.9467650020000002</v>
      </c>
      <c r="F282">
        <v>5.42128137</v>
      </c>
      <c r="G282">
        <v>4.9208110429999996</v>
      </c>
      <c r="H282">
        <v>4.4883317700000003</v>
      </c>
      <c r="I282">
        <v>4.1682638709999997</v>
      </c>
      <c r="L282">
        <v>1.35292484528822E-3</v>
      </c>
      <c r="M282">
        <f t="shared" si="0"/>
        <v>7.0352091954987444</v>
      </c>
    </row>
    <row r="283" spans="1:13">
      <c r="A283" t="s">
        <v>281</v>
      </c>
      <c r="B283">
        <v>6.6162944719999999</v>
      </c>
      <c r="C283">
        <v>6.5439131230000003</v>
      </c>
      <c r="D283">
        <v>6.3477061040000002</v>
      </c>
      <c r="E283">
        <v>6.0335587259999999</v>
      </c>
      <c r="F283">
        <v>5.3408848369999999</v>
      </c>
      <c r="G283">
        <v>4.843044184</v>
      </c>
      <c r="H283">
        <v>4.4224225060000002</v>
      </c>
      <c r="I283">
        <v>4.1139916120000004</v>
      </c>
      <c r="L283">
        <v>1.3443386143813601E-3</v>
      </c>
      <c r="M283">
        <f t="shared" si="0"/>
        <v>6.9905607947830726</v>
      </c>
    </row>
    <row r="284" spans="1:13">
      <c r="A284" t="s">
        <v>282</v>
      </c>
      <c r="B284">
        <v>6.459512857</v>
      </c>
      <c r="C284">
        <v>6.2985328589999998</v>
      </c>
      <c r="D284">
        <v>6.1243622560000004</v>
      </c>
      <c r="E284">
        <v>5.6892906400000003</v>
      </c>
      <c r="F284">
        <v>5.1204067599999998</v>
      </c>
      <c r="G284">
        <v>4.6301919180000004</v>
      </c>
      <c r="H284">
        <v>4.2189026079999996</v>
      </c>
      <c r="I284">
        <v>3.9088224810000001</v>
      </c>
      <c r="L284">
        <v>1.3105781793450501E-3</v>
      </c>
      <c r="M284">
        <f t="shared" si="0"/>
        <v>6.8150065325942606</v>
      </c>
    </row>
    <row r="285" spans="1:13">
      <c r="A285" t="s">
        <v>283</v>
      </c>
      <c r="B285">
        <v>6.5696413649999998</v>
      </c>
      <c r="C285">
        <v>6.2975456369999998</v>
      </c>
      <c r="D285">
        <v>6.0330565360000001</v>
      </c>
      <c r="E285">
        <v>5.6158892629999997</v>
      </c>
      <c r="F285">
        <v>5.0055382240000004</v>
      </c>
      <c r="G285">
        <v>4.5253289580000002</v>
      </c>
      <c r="H285">
        <v>4.1554300189999998</v>
      </c>
      <c r="I285">
        <v>3.8444200309999998</v>
      </c>
      <c r="L285">
        <v>1.3308200471307901E-3</v>
      </c>
      <c r="M285">
        <f t="shared" si="0"/>
        <v>6.9202642450801086</v>
      </c>
    </row>
    <row r="286" spans="1:13">
      <c r="A286" t="s">
        <v>284</v>
      </c>
      <c r="B286">
        <v>6.2403339679999998</v>
      </c>
      <c r="C286">
        <v>5.8656382699999998</v>
      </c>
      <c r="D286">
        <v>5.5662615200000003</v>
      </c>
      <c r="E286">
        <v>5.1858375629999998</v>
      </c>
      <c r="F286">
        <v>4.602024439</v>
      </c>
      <c r="G286">
        <v>4.1222266879999996</v>
      </c>
      <c r="H286">
        <v>3.7631762630000001</v>
      </c>
      <c r="I286">
        <v>3.4519781100000002</v>
      </c>
      <c r="L286">
        <v>1.2627123224244201E-3</v>
      </c>
      <c r="M286">
        <f t="shared" si="0"/>
        <v>6.5661040766069849</v>
      </c>
    </row>
    <row r="287" spans="1:13">
      <c r="A287" t="s">
        <v>285</v>
      </c>
      <c r="B287">
        <v>5.7369660480000002</v>
      </c>
      <c r="C287">
        <v>5.5557929440000002</v>
      </c>
      <c r="D287">
        <v>5.3547182869999999</v>
      </c>
      <c r="E287">
        <v>5.0124202860000002</v>
      </c>
      <c r="F287">
        <v>4.5045098609999998</v>
      </c>
      <c r="G287">
        <v>4.0333150599999996</v>
      </c>
      <c r="H287">
        <v>3.6731830969999999</v>
      </c>
      <c r="I287">
        <v>3.3837180569999998</v>
      </c>
      <c r="L287">
        <v>1.15991794714087E-3</v>
      </c>
      <c r="M287">
        <f t="shared" si="0"/>
        <v>6.0315733251325234</v>
      </c>
    </row>
    <row r="288" spans="1:13">
      <c r="A288" t="s">
        <v>286</v>
      </c>
      <c r="B288">
        <v>5.8470494459999998</v>
      </c>
      <c r="C288">
        <v>5.6491625519999999</v>
      </c>
      <c r="D288">
        <v>5.4002870999999999</v>
      </c>
      <c r="E288">
        <v>4.9634059920000002</v>
      </c>
      <c r="F288">
        <v>4.4253623729999996</v>
      </c>
      <c r="G288">
        <v>3.9448203720000001</v>
      </c>
      <c r="H288">
        <v>3.5851927410000002</v>
      </c>
      <c r="I288">
        <v>3.3065444859999999</v>
      </c>
      <c r="L288">
        <v>1.1805715734249801E-3</v>
      </c>
      <c r="M288">
        <f t="shared" si="0"/>
        <v>6.1389721818098968</v>
      </c>
    </row>
    <row r="289" spans="1:13">
      <c r="A289" t="s">
        <v>287</v>
      </c>
      <c r="B289">
        <v>5.8155545020000003</v>
      </c>
      <c r="C289">
        <v>5.5859665009999997</v>
      </c>
      <c r="D289">
        <v>5.2771894540000002</v>
      </c>
      <c r="E289">
        <v>4.9518048979999998</v>
      </c>
      <c r="F289">
        <v>4.3309978180000002</v>
      </c>
      <c r="G289">
        <v>3.9214457559999998</v>
      </c>
      <c r="H289">
        <v>3.5400054029999999</v>
      </c>
      <c r="I289">
        <v>3.2396563980000002</v>
      </c>
      <c r="L289">
        <v>1.17287725253987E-3</v>
      </c>
      <c r="M289">
        <f t="shared" si="0"/>
        <v>6.0989617132073244</v>
      </c>
    </row>
    <row r="290" spans="1:13">
      <c r="A290" t="s">
        <v>288</v>
      </c>
      <c r="B290">
        <v>5.7684629139999997</v>
      </c>
      <c r="C290">
        <v>5.4772510280000004</v>
      </c>
      <c r="D290">
        <v>5.1848183050000003</v>
      </c>
      <c r="E290">
        <v>4.7429442990000004</v>
      </c>
      <c r="F290">
        <v>4.241543386</v>
      </c>
      <c r="G290">
        <v>3.8211657140000002</v>
      </c>
      <c r="H290">
        <v>3.471068566</v>
      </c>
      <c r="I290">
        <v>3.180852222</v>
      </c>
      <c r="L290">
        <v>1.1621500402091299E-3</v>
      </c>
      <c r="M290">
        <f t="shared" si="0"/>
        <v>6.0431802090874758</v>
      </c>
    </row>
    <row r="291" spans="1:13">
      <c r="A291" t="s">
        <v>289</v>
      </c>
      <c r="B291">
        <v>5.8942390619999996</v>
      </c>
      <c r="C291">
        <v>5.4920804780000001</v>
      </c>
      <c r="D291">
        <v>5.1684600219999997</v>
      </c>
      <c r="E291">
        <v>4.8466565289999997</v>
      </c>
      <c r="F291">
        <v>4.171469622</v>
      </c>
      <c r="G291">
        <v>3.7031414329999999</v>
      </c>
      <c r="H291">
        <v>3.333773667</v>
      </c>
      <c r="I291">
        <v>3.045260324</v>
      </c>
      <c r="L291">
        <v>1.1860854959964901E-3</v>
      </c>
      <c r="M291">
        <f t="shared" si="0"/>
        <v>6.1676445791817489</v>
      </c>
    </row>
    <row r="292" spans="1:13">
      <c r="A292" t="s">
        <v>290</v>
      </c>
      <c r="B292">
        <v>5.9098577609999996</v>
      </c>
      <c r="C292">
        <v>5.4602849850000004</v>
      </c>
      <c r="D292">
        <v>5.2283893289999996</v>
      </c>
      <c r="E292">
        <v>4.8729875299999996</v>
      </c>
      <c r="F292">
        <v>4.1659793760000001</v>
      </c>
      <c r="G292">
        <v>3.727855812</v>
      </c>
      <c r="H292">
        <v>3.3683319100000002</v>
      </c>
      <c r="I292">
        <v>3.0795130839999998</v>
      </c>
      <c r="L292">
        <v>1.18802457039589E-3</v>
      </c>
      <c r="M292">
        <f t="shared" si="0"/>
        <v>6.1777277660586281</v>
      </c>
    </row>
    <row r="293" spans="1:13">
      <c r="A293" t="s">
        <v>291</v>
      </c>
      <c r="B293">
        <v>5.8152499750000004</v>
      </c>
      <c r="C293">
        <v>5.4611370360000002</v>
      </c>
      <c r="D293">
        <v>5.1676664289999996</v>
      </c>
      <c r="E293">
        <v>4.7386917569999998</v>
      </c>
      <c r="F293">
        <v>3.9761758</v>
      </c>
      <c r="G293">
        <v>3.5486063309999998</v>
      </c>
      <c r="H293">
        <v>3.2204291870000001</v>
      </c>
      <c r="I293">
        <v>2.9414300629999999</v>
      </c>
      <c r="L293">
        <v>1.1680151738189799E-3</v>
      </c>
      <c r="M293">
        <f t="shared" si="0"/>
        <v>6.0736789038586956</v>
      </c>
    </row>
    <row r="294" spans="1:13">
      <c r="A294" t="s">
        <v>292</v>
      </c>
      <c r="B294">
        <v>5.4696658999999999</v>
      </c>
      <c r="C294">
        <v>5.166559414</v>
      </c>
      <c r="D294">
        <v>4.9094142500000002</v>
      </c>
      <c r="E294">
        <v>4.3957182140000004</v>
      </c>
      <c r="F294">
        <v>3.762252471</v>
      </c>
      <c r="G294">
        <v>3.3530410110000002</v>
      </c>
      <c r="H294">
        <v>3.0547815190000001</v>
      </c>
      <c r="I294">
        <v>2.7960898780000001</v>
      </c>
      <c r="L294">
        <v>1.0980431800517801E-3</v>
      </c>
      <c r="M294">
        <f t="shared" si="0"/>
        <v>5.7098245362692559</v>
      </c>
    </row>
    <row r="295" spans="1:13">
      <c r="A295" t="s">
        <v>293</v>
      </c>
      <c r="B295">
        <v>5.170251017</v>
      </c>
      <c r="C295">
        <v>4.8089290269999996</v>
      </c>
      <c r="D295">
        <v>4.7435515199999996</v>
      </c>
      <c r="E295">
        <v>4.3411827399999998</v>
      </c>
      <c r="F295">
        <v>3.748373419</v>
      </c>
      <c r="G295">
        <v>3.338325497</v>
      </c>
      <c r="H295">
        <v>3.050213404</v>
      </c>
      <c r="I295">
        <v>2.7800646549999999</v>
      </c>
      <c r="L295">
        <v>1.03744011545562E-3</v>
      </c>
      <c r="M295">
        <f t="shared" si="0"/>
        <v>5.394688600369224</v>
      </c>
    </row>
    <row r="296" spans="1:13">
      <c r="A296" t="s">
        <v>294</v>
      </c>
      <c r="B296">
        <v>5.6421272409999998</v>
      </c>
      <c r="C296">
        <v>5.2131074159999997</v>
      </c>
      <c r="D296">
        <v>4.7985110740000003</v>
      </c>
      <c r="E296">
        <v>4.1991175920000003</v>
      </c>
      <c r="F296">
        <v>3.6506397370000001</v>
      </c>
      <c r="G296">
        <v>3.2109422400000001</v>
      </c>
      <c r="H296">
        <v>2.9232658790000001</v>
      </c>
      <c r="I296">
        <v>2.664405184</v>
      </c>
      <c r="L296">
        <v>1.1305395393956699E-3</v>
      </c>
      <c r="M296">
        <f t="shared" si="0"/>
        <v>5.8788056048574839</v>
      </c>
    </row>
    <row r="297" spans="1:13">
      <c r="A297" t="s">
        <v>295</v>
      </c>
      <c r="B297">
        <v>5.940857501</v>
      </c>
      <c r="C297">
        <v>5.3052587999999998</v>
      </c>
      <c r="D297">
        <v>5.0446143220000002</v>
      </c>
      <c r="E297">
        <v>4.4980838600000004</v>
      </c>
      <c r="F297">
        <v>3.6994152360000001</v>
      </c>
      <c r="G297">
        <v>3.2217995660000001</v>
      </c>
      <c r="H297">
        <v>2.893982099</v>
      </c>
      <c r="I297">
        <v>2.6370361980000001</v>
      </c>
      <c r="L297">
        <v>1.1890852465209899E-3</v>
      </c>
      <c r="M297">
        <f t="shared" si="0"/>
        <v>6.1832432819091476</v>
      </c>
    </row>
    <row r="298" spans="1:13">
      <c r="A298" t="s">
        <v>296</v>
      </c>
      <c r="B298">
        <v>5.7366652919999996</v>
      </c>
      <c r="C298">
        <v>5.4768228280000004</v>
      </c>
      <c r="D298">
        <v>5.1357672460000003</v>
      </c>
      <c r="E298">
        <v>4.722699177</v>
      </c>
      <c r="F298">
        <v>4.0427773739999999</v>
      </c>
      <c r="G298">
        <v>3.584012124</v>
      </c>
      <c r="H298">
        <v>3.2766646779999999</v>
      </c>
      <c r="I298">
        <v>3.0299833540000001</v>
      </c>
      <c r="L298">
        <v>1.1476056764429701E-3</v>
      </c>
      <c r="M298">
        <f t="shared" si="0"/>
        <v>5.9675495175034445</v>
      </c>
    </row>
    <row r="299" spans="1:13">
      <c r="A299" t="s">
        <v>297</v>
      </c>
      <c r="B299">
        <v>5.485727281</v>
      </c>
      <c r="C299">
        <v>5.1983380940000004</v>
      </c>
      <c r="D299">
        <v>4.9253480590000001</v>
      </c>
      <c r="E299">
        <v>4.5048191060000002</v>
      </c>
      <c r="F299">
        <v>3.8725578760000001</v>
      </c>
      <c r="G299">
        <v>3.4238018499999998</v>
      </c>
      <c r="H299">
        <v>3.1059055029999998</v>
      </c>
      <c r="I299">
        <v>2.8811338809999998</v>
      </c>
      <c r="L299">
        <v>1.09693739005599E-3</v>
      </c>
      <c r="M299">
        <f t="shared" si="0"/>
        <v>5.7040744282911477</v>
      </c>
    </row>
    <row r="300" spans="1:13">
      <c r="A300" t="s">
        <v>298</v>
      </c>
      <c r="B300">
        <v>5.4853670430000001</v>
      </c>
      <c r="C300">
        <v>5.3069158720000003</v>
      </c>
      <c r="D300">
        <v>4.9838543849999999</v>
      </c>
      <c r="E300">
        <v>4.5168181250000004</v>
      </c>
      <c r="F300">
        <v>4.0039185909999997</v>
      </c>
      <c r="G300">
        <v>3.56367843</v>
      </c>
      <c r="H300">
        <v>3.2448460400000001</v>
      </c>
      <c r="I300">
        <v>2.9976474049999999</v>
      </c>
      <c r="L300">
        <v>1.0961152848835401E-3</v>
      </c>
      <c r="M300">
        <f t="shared" si="0"/>
        <v>5.6997994813944084</v>
      </c>
    </row>
    <row r="301" spans="1:13">
      <c r="A301" t="s">
        <v>299</v>
      </c>
      <c r="B301">
        <v>5.5952258109999997</v>
      </c>
      <c r="C301">
        <v>5.1824467869999999</v>
      </c>
      <c r="D301">
        <v>5.1252422580000001</v>
      </c>
      <c r="E301">
        <v>4.6086055530000003</v>
      </c>
      <c r="F301">
        <v>4.1296314880000002</v>
      </c>
      <c r="G301">
        <v>3.64894702</v>
      </c>
      <c r="H301">
        <v>3.3100093140000002</v>
      </c>
      <c r="I301">
        <v>3.0527152910000002</v>
      </c>
      <c r="L301">
        <v>1.11719018416635E-3</v>
      </c>
      <c r="M301">
        <f t="shared" ref="M301:M332" si="1">L301*5200</f>
        <v>5.8093889576650204</v>
      </c>
    </row>
    <row r="302" spans="1:13">
      <c r="A302" t="s">
        <v>300</v>
      </c>
      <c r="B302">
        <v>5.6424243350000003</v>
      </c>
      <c r="C302">
        <v>5.4614635580000002</v>
      </c>
      <c r="D302">
        <v>5.1828246670000002</v>
      </c>
      <c r="E302">
        <v>4.724113773</v>
      </c>
      <c r="F302">
        <v>4.1041836089999997</v>
      </c>
      <c r="G302">
        <v>3.6052676479999999</v>
      </c>
      <c r="H302">
        <v>3.288384432</v>
      </c>
      <c r="I302">
        <v>3.0316420769999999</v>
      </c>
      <c r="L302">
        <v>1.12584448792923E-3</v>
      </c>
      <c r="M302">
        <f t="shared" si="1"/>
        <v>5.8543913372319958</v>
      </c>
    </row>
    <row r="303" spans="1:13">
      <c r="A303" t="s">
        <v>301</v>
      </c>
      <c r="B303">
        <v>5.6896206960000004</v>
      </c>
      <c r="C303">
        <v>5.4768228280000004</v>
      </c>
      <c r="D303">
        <v>5.3046501279999996</v>
      </c>
      <c r="E303">
        <v>4.7970745570000002</v>
      </c>
      <c r="F303">
        <v>4.1772500829999997</v>
      </c>
      <c r="G303">
        <v>3.677987806</v>
      </c>
      <c r="H303">
        <v>3.3503937509999999</v>
      </c>
      <c r="I303">
        <v>3.0935744509999998</v>
      </c>
      <c r="L303">
        <v>1.13451542510991E-3</v>
      </c>
      <c r="M303">
        <f t="shared" si="1"/>
        <v>5.8994802105715314</v>
      </c>
    </row>
    <row r="304" spans="1:13">
      <c r="A304" t="s">
        <v>302</v>
      </c>
      <c r="B304">
        <v>5.6589671539999999</v>
      </c>
      <c r="C304">
        <v>5.5101317270000001</v>
      </c>
      <c r="D304">
        <v>5.4019492539999998</v>
      </c>
      <c r="E304">
        <v>4.9663755749999998</v>
      </c>
      <c r="F304">
        <v>4.284235164</v>
      </c>
      <c r="G304">
        <v>3.7855710120000001</v>
      </c>
      <c r="H304">
        <v>3.4166424659999999</v>
      </c>
      <c r="I304">
        <v>3.1721071090000001</v>
      </c>
      <c r="L304">
        <v>1.12778658895696E-3</v>
      </c>
      <c r="M304">
        <f t="shared" si="1"/>
        <v>5.8644902625761919</v>
      </c>
    </row>
    <row r="305" spans="1:13">
      <c r="A305" t="s">
        <v>303</v>
      </c>
      <c r="B305">
        <v>5.4073254149999999</v>
      </c>
      <c r="C305">
        <v>5.448116754</v>
      </c>
      <c r="D305">
        <v>5.2171479270000001</v>
      </c>
      <c r="E305">
        <v>4.8641453449999998</v>
      </c>
      <c r="F305">
        <v>4.1913079590000004</v>
      </c>
      <c r="G305">
        <v>3.7021605960000001</v>
      </c>
      <c r="H305">
        <v>3.343130425</v>
      </c>
      <c r="I305">
        <v>3.0983324739999998</v>
      </c>
      <c r="L305">
        <v>1.07735460827433E-3</v>
      </c>
      <c r="M305">
        <f t="shared" si="1"/>
        <v>5.6022439630265159</v>
      </c>
    </row>
    <row r="306" spans="1:13">
      <c r="A306" t="s">
        <v>304</v>
      </c>
      <c r="B306">
        <v>5.3603937469999998</v>
      </c>
      <c r="C306">
        <v>5.2469361860000001</v>
      </c>
      <c r="D306">
        <v>5.0812866290000001</v>
      </c>
      <c r="E306">
        <v>4.6113660349999996</v>
      </c>
      <c r="F306">
        <v>4.0475848340000002</v>
      </c>
      <c r="G306">
        <v>3.568562762</v>
      </c>
      <c r="H306">
        <v>3.2200039999999999</v>
      </c>
      <c r="I306">
        <v>2.9747944739999999</v>
      </c>
      <c r="L306">
        <v>1.06749241695399E-3</v>
      </c>
      <c r="M306">
        <f t="shared" si="1"/>
        <v>5.5509605681607477</v>
      </c>
    </row>
    <row r="307" spans="1:13">
      <c r="A307" t="s">
        <v>305</v>
      </c>
      <c r="B307">
        <v>5.533734033</v>
      </c>
      <c r="C307">
        <v>5.4654015569999999</v>
      </c>
      <c r="D307">
        <v>5.1452615929999999</v>
      </c>
      <c r="E307">
        <v>4.6740774780000001</v>
      </c>
      <c r="F307">
        <v>4.0384789310000002</v>
      </c>
      <c r="G307">
        <v>3.5600076839999999</v>
      </c>
      <c r="H307">
        <v>3.2221735229999999</v>
      </c>
      <c r="I307">
        <v>2.9772946920000001</v>
      </c>
      <c r="L307">
        <v>1.10120916349629E-3</v>
      </c>
      <c r="M307">
        <f t="shared" si="1"/>
        <v>5.7262876501807076</v>
      </c>
    </row>
    <row r="308" spans="1:13">
      <c r="A308" t="s">
        <v>306</v>
      </c>
      <c r="B308">
        <v>5.1716099959999999</v>
      </c>
      <c r="C308">
        <v>5.045623387</v>
      </c>
      <c r="D308">
        <v>4.9002691550000002</v>
      </c>
      <c r="E308">
        <v>4.4115510840000001</v>
      </c>
      <c r="F308">
        <v>3.8295345699999999</v>
      </c>
      <c r="G308">
        <v>3.3606845910000001</v>
      </c>
      <c r="H308">
        <v>3.032842552</v>
      </c>
      <c r="I308">
        <v>2.7874569600000001</v>
      </c>
      <c r="L308">
        <v>1.029103834963E-3</v>
      </c>
      <c r="M308">
        <f t="shared" si="1"/>
        <v>5.3513399418076002</v>
      </c>
    </row>
    <row r="309" spans="1:13">
      <c r="A309" t="s">
        <v>307</v>
      </c>
      <c r="B309">
        <v>5.077023295</v>
      </c>
      <c r="C309">
        <v>4.8744285859999996</v>
      </c>
      <c r="D309">
        <v>4.6877164819999999</v>
      </c>
      <c r="E309">
        <v>4.1777580299999997</v>
      </c>
      <c r="F309">
        <v>3.5331058789999998</v>
      </c>
      <c r="G309">
        <v>3.0655624659999998</v>
      </c>
      <c r="H309">
        <v>2.707090762</v>
      </c>
      <c r="I309">
        <v>2.461842694</v>
      </c>
      <c r="L309">
        <v>1.0099273876120699E-3</v>
      </c>
      <c r="M309">
        <f t="shared" si="1"/>
        <v>5.251622415582764</v>
      </c>
    </row>
    <row r="310" spans="1:13">
      <c r="A310" t="s">
        <v>308</v>
      </c>
      <c r="B310">
        <v>5.2503164460000002</v>
      </c>
      <c r="C310">
        <v>4.9837214469999997</v>
      </c>
      <c r="D310">
        <v>4.6263885350000002</v>
      </c>
      <c r="E310">
        <v>4.0599435550000003</v>
      </c>
      <c r="F310">
        <v>3.519929232</v>
      </c>
      <c r="G310">
        <v>3.0919563499999998</v>
      </c>
      <c r="H310">
        <v>2.7536900580000001</v>
      </c>
      <c r="I310">
        <v>2.5081834459999999</v>
      </c>
      <c r="L310">
        <v>1.04366888686441E-3</v>
      </c>
      <c r="M310">
        <f t="shared" si="1"/>
        <v>5.4270782116949317</v>
      </c>
    </row>
    <row r="311" spans="1:13">
      <c r="A311" t="s">
        <v>309</v>
      </c>
      <c r="B311">
        <v>5.2345410269999997</v>
      </c>
      <c r="C311">
        <v>4.9057262149999996</v>
      </c>
      <c r="D311">
        <v>4.7181473240000003</v>
      </c>
      <c r="E311">
        <v>4.1200120580000004</v>
      </c>
      <c r="F311">
        <v>3.5941042049999998</v>
      </c>
      <c r="G311">
        <v>3.14530238</v>
      </c>
      <c r="H311">
        <v>2.807132518</v>
      </c>
      <c r="I311">
        <v>2.5399938629999999</v>
      </c>
      <c r="L311">
        <v>1.0400880742029901E-3</v>
      </c>
      <c r="M311">
        <f t="shared" si="1"/>
        <v>5.4084579858555486</v>
      </c>
    </row>
    <row r="312" spans="1:13">
      <c r="A312" t="s">
        <v>310</v>
      </c>
      <c r="B312">
        <v>5.0457377699999997</v>
      </c>
      <c r="C312">
        <v>4.8126870549999996</v>
      </c>
      <c r="D312">
        <v>4.4430299169999996</v>
      </c>
      <c r="E312">
        <v>3.971444972</v>
      </c>
      <c r="F312">
        <v>3.3472888900000002</v>
      </c>
      <c r="G312">
        <v>2.9096146869999999</v>
      </c>
      <c r="H312">
        <v>2.6131755050000001</v>
      </c>
      <c r="I312">
        <v>2.3781282419999998</v>
      </c>
      <c r="L312">
        <v>1.0023981853360701E-3</v>
      </c>
      <c r="M312">
        <f t="shared" si="1"/>
        <v>5.2124705637475648</v>
      </c>
    </row>
    <row r="313" spans="1:13">
      <c r="A313" t="s">
        <v>311</v>
      </c>
      <c r="B313">
        <v>4.8254808000000002</v>
      </c>
      <c r="C313">
        <v>4.5637410630000002</v>
      </c>
      <c r="D313">
        <v>4.2891255460000002</v>
      </c>
      <c r="E313">
        <v>3.806762301</v>
      </c>
      <c r="F313">
        <v>3.2147432980000001</v>
      </c>
      <c r="G313">
        <v>2.7763276029999999</v>
      </c>
      <c r="H313">
        <v>2.4792848310000002</v>
      </c>
      <c r="I313">
        <v>2.2870511389999999</v>
      </c>
      <c r="L313">
        <v>9.5855345331261499E-4</v>
      </c>
      <c r="M313">
        <f t="shared" si="1"/>
        <v>4.9844779572255984</v>
      </c>
    </row>
    <row r="314" spans="1:13">
      <c r="A314" t="s">
        <v>312</v>
      </c>
      <c r="B314">
        <v>4.715347789</v>
      </c>
      <c r="C314">
        <v>4.4075672770000001</v>
      </c>
      <c r="D314">
        <v>4.1822243959999996</v>
      </c>
      <c r="E314">
        <v>3.6738232540000002</v>
      </c>
      <c r="F314">
        <v>2.9882826680000001</v>
      </c>
      <c r="G314">
        <v>2.5512586339999999</v>
      </c>
      <c r="H314">
        <v>2.2651183439999998</v>
      </c>
      <c r="I314">
        <v>2.0729141979999999</v>
      </c>
      <c r="L314">
        <v>9.3646064893076802E-4</v>
      </c>
      <c r="M314">
        <f t="shared" si="1"/>
        <v>4.869595374439994</v>
      </c>
    </row>
    <row r="315" spans="1:13">
      <c r="A315" t="s">
        <v>313</v>
      </c>
      <c r="B315">
        <v>4.8889441619999996</v>
      </c>
      <c r="C315">
        <v>4.3768704559999998</v>
      </c>
      <c r="D315">
        <v>4.0921001700000001</v>
      </c>
      <c r="E315">
        <v>3.5110499019999999</v>
      </c>
      <c r="F315">
        <v>2.8305121139999998</v>
      </c>
      <c r="G315">
        <v>2.3935625570000001</v>
      </c>
      <c r="H315">
        <v>2.148843598</v>
      </c>
      <c r="I315">
        <v>1.944949305</v>
      </c>
      <c r="L315">
        <v>9.7029170343174197E-4</v>
      </c>
      <c r="M315">
        <f t="shared" si="1"/>
        <v>5.0455168578450582</v>
      </c>
    </row>
    <row r="316" spans="1:13">
      <c r="A316" t="s">
        <v>314</v>
      </c>
      <c r="B316">
        <v>4.3689242210000003</v>
      </c>
      <c r="C316">
        <v>4.143904107</v>
      </c>
      <c r="D316">
        <v>3.7385748759999999</v>
      </c>
      <c r="E316">
        <v>3.2738487549999999</v>
      </c>
      <c r="F316">
        <v>2.6244685209999998</v>
      </c>
      <c r="G316">
        <v>2.186871456</v>
      </c>
      <c r="H316">
        <v>1.9312705969999999</v>
      </c>
      <c r="I316">
        <v>1.759419163</v>
      </c>
      <c r="L316">
        <v>8.6751938996096898E-4</v>
      </c>
      <c r="M316">
        <f t="shared" si="1"/>
        <v>4.5111008277970388</v>
      </c>
    </row>
    <row r="317" spans="1:13">
      <c r="A317" t="s">
        <v>315</v>
      </c>
      <c r="B317">
        <v>4.3217677139999999</v>
      </c>
      <c r="C317">
        <v>4.0813536470000003</v>
      </c>
      <c r="D317">
        <v>3.754144412</v>
      </c>
      <c r="E317">
        <v>3.3035765179999999</v>
      </c>
      <c r="F317">
        <v>2.6138137189999999</v>
      </c>
      <c r="G317">
        <v>2.2067943479999999</v>
      </c>
      <c r="H317">
        <v>1.961487494</v>
      </c>
      <c r="I317">
        <v>1.7895507420000001</v>
      </c>
      <c r="L317">
        <v>8.5791762508323E-4</v>
      </c>
      <c r="M317">
        <f t="shared" si="1"/>
        <v>4.4611716504327958</v>
      </c>
    </row>
    <row r="318" spans="1:13">
      <c r="A318" t="s">
        <v>316</v>
      </c>
      <c r="B318">
        <v>4.3213259629999996</v>
      </c>
      <c r="C318">
        <v>3.8941577490000001</v>
      </c>
      <c r="D318">
        <v>3.6154399399999999</v>
      </c>
      <c r="E318">
        <v>3.2778043389999998</v>
      </c>
      <c r="F318">
        <v>2.6188784690000002</v>
      </c>
      <c r="G318">
        <v>2.2116999490000002</v>
      </c>
      <c r="H318">
        <v>1.93535448</v>
      </c>
      <c r="I318">
        <v>1.752877604</v>
      </c>
      <c r="L318">
        <v>8.5752492102123305E-4</v>
      </c>
      <c r="M318">
        <f t="shared" si="1"/>
        <v>4.4591295893104119</v>
      </c>
    </row>
    <row r="319" spans="1:13">
      <c r="A319" t="s">
        <v>317</v>
      </c>
      <c r="B319">
        <v>4.4310822070000002</v>
      </c>
      <c r="C319">
        <v>4.1590479250000003</v>
      </c>
      <c r="D319">
        <v>3.7079134260000002</v>
      </c>
      <c r="E319">
        <v>3.2144604499999998</v>
      </c>
      <c r="F319">
        <v>2.7053036079999999</v>
      </c>
      <c r="G319">
        <v>2.266737182</v>
      </c>
      <c r="H319">
        <v>1.9588605429999999</v>
      </c>
      <c r="I319">
        <v>1.733308936</v>
      </c>
      <c r="L319">
        <v>8.7881884660196503E-4</v>
      </c>
      <c r="M319">
        <f t="shared" si="1"/>
        <v>4.5698580023302178</v>
      </c>
    </row>
    <row r="320" spans="1:13">
      <c r="A320" t="s">
        <v>318</v>
      </c>
      <c r="B320">
        <v>4.1478883</v>
      </c>
      <c r="C320">
        <v>3.815612223</v>
      </c>
      <c r="D320">
        <v>3.4623109969999999</v>
      </c>
      <c r="E320">
        <v>3.1588511079999999</v>
      </c>
      <c r="F320">
        <v>2.5928201880000001</v>
      </c>
      <c r="G320">
        <v>2.1941925549999999</v>
      </c>
      <c r="H320">
        <v>1.9063736179999999</v>
      </c>
      <c r="I320">
        <v>1.69102058</v>
      </c>
      <c r="L320">
        <v>8.22835285686487E-4</v>
      </c>
      <c r="M320">
        <f t="shared" si="1"/>
        <v>4.2787434855697324</v>
      </c>
    </row>
    <row r="321" spans="1:13">
      <c r="A321" t="s">
        <v>319</v>
      </c>
      <c r="B321">
        <v>4.0533691169999999</v>
      </c>
      <c r="C321">
        <v>3.8940046210000001</v>
      </c>
      <c r="D321">
        <v>3.5386169079999998</v>
      </c>
      <c r="E321">
        <v>3.1569423599999999</v>
      </c>
      <c r="F321">
        <v>2.6695874480000001</v>
      </c>
      <c r="G321">
        <v>2.2706516909999999</v>
      </c>
      <c r="H321">
        <v>1.9828177119999999</v>
      </c>
      <c r="I321">
        <v>1.778430717</v>
      </c>
      <c r="L321">
        <v>8.03986758895722E-4</v>
      </c>
      <c r="M321">
        <f t="shared" si="1"/>
        <v>4.1807311462577541</v>
      </c>
    </row>
    <row r="322" spans="1:13">
      <c r="A322" t="s">
        <v>320</v>
      </c>
      <c r="B322">
        <v>4.3532060000000001</v>
      </c>
      <c r="C322">
        <v>4.019117059</v>
      </c>
      <c r="D322">
        <v>3.7246336150000001</v>
      </c>
      <c r="E322">
        <v>3.2322126259999999</v>
      </c>
      <c r="F322">
        <v>2.62866036</v>
      </c>
      <c r="G322">
        <v>2.2205845800000001</v>
      </c>
      <c r="H322">
        <v>1.896879443</v>
      </c>
      <c r="I322">
        <v>1.681992881</v>
      </c>
      <c r="L322">
        <v>8.6265622966541305E-4</v>
      </c>
      <c r="M322">
        <f t="shared" si="1"/>
        <v>4.4858123942601482</v>
      </c>
    </row>
    <row r="323" spans="1:13">
      <c r="A323" t="s">
        <v>321</v>
      </c>
      <c r="B323">
        <v>4.5421175890000001</v>
      </c>
      <c r="C323">
        <v>4.1753928140000003</v>
      </c>
      <c r="D323">
        <v>3.8318136840000001</v>
      </c>
      <c r="E323">
        <v>3.3223997239999998</v>
      </c>
      <c r="F323">
        <v>2.6947913739999998</v>
      </c>
      <c r="G323">
        <v>2.2870390899999999</v>
      </c>
      <c r="H323">
        <v>1.99474822</v>
      </c>
      <c r="I323">
        <v>1.7583945350000001</v>
      </c>
      <c r="L323">
        <v>8.9950449179552799E-4</v>
      </c>
      <c r="M323">
        <f t="shared" si="1"/>
        <v>4.6774233573367452</v>
      </c>
    </row>
    <row r="324" spans="1:13">
      <c r="A324" t="s">
        <v>322</v>
      </c>
      <c r="B324">
        <v>4.4008669559999998</v>
      </c>
      <c r="C324">
        <v>4.129986551</v>
      </c>
      <c r="D324">
        <v>3.7257859180000001</v>
      </c>
      <c r="E324">
        <v>3.2669157499999999</v>
      </c>
      <c r="F324">
        <v>2.5546256509999998</v>
      </c>
      <c r="G324">
        <v>2.1678416660000002</v>
      </c>
      <c r="H324">
        <v>1.8759372750000001</v>
      </c>
      <c r="I324">
        <v>1.6615540820000001</v>
      </c>
      <c r="L324">
        <v>8.71494382660879E-4</v>
      </c>
      <c r="M324">
        <f t="shared" si="1"/>
        <v>4.5317707898365711</v>
      </c>
    </row>
    <row r="325" spans="1:13">
      <c r="A325" t="s">
        <v>323</v>
      </c>
      <c r="B325">
        <v>4.2431910369999999</v>
      </c>
      <c r="C325">
        <v>4.0051469669999999</v>
      </c>
      <c r="D325">
        <v>3.680374214</v>
      </c>
      <c r="E325">
        <v>3.1617179929999999</v>
      </c>
      <c r="F325">
        <v>2.4213895619999999</v>
      </c>
      <c r="G325">
        <v>2.014764832</v>
      </c>
      <c r="H325">
        <v>1.7333260150000001</v>
      </c>
      <c r="I325">
        <v>1.518732923</v>
      </c>
      <c r="L325">
        <v>8.4028297663268404E-4</v>
      </c>
      <c r="M325">
        <f t="shared" si="1"/>
        <v>4.3694714784899569</v>
      </c>
    </row>
    <row r="326" spans="1:13">
      <c r="A326" t="s">
        <v>324</v>
      </c>
      <c r="B326">
        <v>4.4634329580000003</v>
      </c>
      <c r="C326">
        <v>4.2061262890000002</v>
      </c>
      <c r="D326">
        <v>3.8930197579999999</v>
      </c>
      <c r="E326">
        <v>3.4272843669999999</v>
      </c>
      <c r="F326">
        <v>2.6247224400000002</v>
      </c>
      <c r="G326">
        <v>2.1989472179999998</v>
      </c>
      <c r="H326">
        <v>1.887217138</v>
      </c>
      <c r="I326">
        <v>1.6629023730000001</v>
      </c>
      <c r="L326">
        <v>8.8327625702058798E-4</v>
      </c>
      <c r="M326">
        <f t="shared" si="1"/>
        <v>4.5930365365070571</v>
      </c>
    </row>
    <row r="327" spans="1:13">
      <c r="A327" t="s">
        <v>325</v>
      </c>
      <c r="B327">
        <v>4.3656632330000003</v>
      </c>
      <c r="C327">
        <v>4.133286429</v>
      </c>
      <c r="D327">
        <v>3.8751649600000002</v>
      </c>
      <c r="E327">
        <v>3.56187706</v>
      </c>
      <c r="F327">
        <v>2.757315084</v>
      </c>
      <c r="G327">
        <v>2.3612541810000001</v>
      </c>
      <c r="H327">
        <v>2.0595745430000001</v>
      </c>
      <c r="I327">
        <v>1.8137506320000001</v>
      </c>
      <c r="L327">
        <v>8.63847978289183E-4</v>
      </c>
      <c r="M327">
        <f t="shared" si="1"/>
        <v>4.4920094871037515</v>
      </c>
    </row>
    <row r="328" spans="1:13">
      <c r="A328" t="s">
        <v>326</v>
      </c>
      <c r="B328">
        <v>4.3656438949999998</v>
      </c>
      <c r="C328">
        <v>4.1633102900000001</v>
      </c>
      <c r="D328">
        <v>3.8856274389999998</v>
      </c>
      <c r="E328">
        <v>3.4340372709999998</v>
      </c>
      <c r="F328">
        <v>2.7899980420000001</v>
      </c>
      <c r="G328">
        <v>2.4135887189999998</v>
      </c>
      <c r="H328">
        <v>2.1323186939999998</v>
      </c>
      <c r="I328">
        <v>1.9184701150000001</v>
      </c>
      <c r="L328">
        <v>8.6361315315027496E-4</v>
      </c>
      <c r="M328">
        <f t="shared" si="1"/>
        <v>4.4907883963814301</v>
      </c>
    </row>
    <row r="329" spans="1:13">
      <c r="A329" t="s">
        <v>327</v>
      </c>
      <c r="B329">
        <v>4.4513784090000001</v>
      </c>
      <c r="C329">
        <v>4.1677148270000002</v>
      </c>
      <c r="D329">
        <v>4.0321499520000001</v>
      </c>
      <c r="E329">
        <v>3.604293234</v>
      </c>
      <c r="F329">
        <v>3.0248891570000001</v>
      </c>
      <c r="G329">
        <v>2.6677504660000002</v>
      </c>
      <c r="H329">
        <v>2.3756962439999998</v>
      </c>
      <c r="I329">
        <v>2.1402814079999999</v>
      </c>
      <c r="L329">
        <v>8.8020321327947001E-4</v>
      </c>
      <c r="M329">
        <f t="shared" si="1"/>
        <v>4.5770567090532444</v>
      </c>
    </row>
    <row r="330" spans="1:13">
      <c r="A330" t="s">
        <v>328</v>
      </c>
      <c r="B330">
        <v>4.1940470620000001</v>
      </c>
      <c r="C330">
        <v>4.0076578219999996</v>
      </c>
      <c r="D330">
        <v>3.7697295940000002</v>
      </c>
      <c r="E330">
        <v>3.416820983</v>
      </c>
      <c r="F330">
        <v>2.9900308039999999</v>
      </c>
      <c r="G330">
        <v>2.6212496340000002</v>
      </c>
      <c r="H330">
        <v>2.3180557679999998</v>
      </c>
      <c r="I330">
        <v>2.0930939319999999</v>
      </c>
      <c r="L330">
        <v>8.2952277341229804E-4</v>
      </c>
      <c r="M330">
        <f t="shared" si="1"/>
        <v>4.3135184217439502</v>
      </c>
    </row>
    <row r="331" spans="1:13">
      <c r="A331" t="s">
        <v>329</v>
      </c>
      <c r="B331">
        <v>4.2998795420000002</v>
      </c>
      <c r="C331">
        <v>4.1124470190000002</v>
      </c>
      <c r="D331">
        <v>3.9419338979999998</v>
      </c>
      <c r="E331">
        <v>3.6619963790000001</v>
      </c>
      <c r="F331">
        <v>3.2512546360000001</v>
      </c>
      <c r="G331">
        <v>2.8822733249999999</v>
      </c>
      <c r="H331">
        <v>2.5998203210000002</v>
      </c>
      <c r="I331">
        <v>2.36364588</v>
      </c>
      <c r="L331">
        <v>8.5006406076551305E-4</v>
      </c>
      <c r="M331">
        <f t="shared" si="1"/>
        <v>4.420333115980668</v>
      </c>
    </row>
    <row r="332" spans="1:13">
      <c r="A332" t="s">
        <v>330</v>
      </c>
      <c r="B332">
        <v>4.3201769360000002</v>
      </c>
      <c r="C332">
        <v>4.2075313769999996</v>
      </c>
      <c r="D332">
        <v>3.9664871420000001</v>
      </c>
      <c r="E332">
        <v>3.6206485270000002</v>
      </c>
      <c r="F332">
        <v>3.1909865669999999</v>
      </c>
      <c r="G332">
        <v>2.802035826</v>
      </c>
      <c r="H332">
        <v>2.5403226820000002</v>
      </c>
      <c r="I332">
        <v>2.336270796</v>
      </c>
      <c r="L332">
        <v>8.5383716725196898E-4</v>
      </c>
      <c r="M332">
        <f t="shared" si="1"/>
        <v>4.4399532697102391</v>
      </c>
    </row>
    <row r="333" spans="1:13">
      <c r="A333" t="s">
        <v>331</v>
      </c>
      <c r="B333">
        <v>4.2291351089999996</v>
      </c>
      <c r="C333">
        <v>4.2366498650000004</v>
      </c>
      <c r="D333">
        <v>4.0874106609999998</v>
      </c>
      <c r="E333">
        <v>3.8183163160000002</v>
      </c>
      <c r="F333">
        <v>3.2396430249999999</v>
      </c>
      <c r="G333">
        <v>2.8519060980000002</v>
      </c>
      <c r="H333">
        <v>2.528502461</v>
      </c>
      <c r="I333">
        <v>2.2821665599999998</v>
      </c>
      <c r="L333">
        <v>8.3579817274718603E-4</v>
      </c>
      <c r="M333">
        <f t="shared" ref="M333:M364" si="2">L333*5200</f>
        <v>4.3461504982853674</v>
      </c>
    </row>
    <row r="334" spans="1:13">
      <c r="A334" t="s">
        <v>332</v>
      </c>
      <c r="B334">
        <v>4.0692504720000002</v>
      </c>
      <c r="C334">
        <v>4.2211608309999997</v>
      </c>
      <c r="D334">
        <v>4.0740076639999998</v>
      </c>
      <c r="E334">
        <v>3.698327602</v>
      </c>
      <c r="F334">
        <v>3.2544252939999998</v>
      </c>
      <c r="G334">
        <v>2.8655338879999999</v>
      </c>
      <c r="H334">
        <v>2.572632322</v>
      </c>
      <c r="I334">
        <v>2.3257393460000002</v>
      </c>
      <c r="L334">
        <v>8.0428667786152698E-4</v>
      </c>
      <c r="M334">
        <f t="shared" si="2"/>
        <v>4.1822907248799401</v>
      </c>
    </row>
    <row r="335" spans="1:13">
      <c r="A335" t="s">
        <v>333</v>
      </c>
      <c r="B335">
        <v>4.2113150900000003</v>
      </c>
      <c r="C335">
        <v>4.2214258750000004</v>
      </c>
      <c r="D335">
        <v>4.1514065990000004</v>
      </c>
      <c r="E335">
        <v>3.7749102510000001</v>
      </c>
      <c r="F335">
        <v>3.350069226</v>
      </c>
      <c r="G335">
        <v>2.9806231329999999</v>
      </c>
      <c r="H335">
        <v>2.6351640860000001</v>
      </c>
      <c r="I335">
        <v>2.3778817139999999</v>
      </c>
      <c r="L335">
        <v>8.3192982745787405E-4</v>
      </c>
      <c r="M335">
        <f t="shared" si="2"/>
        <v>4.3260351027809447</v>
      </c>
    </row>
    <row r="336" spans="1:13">
      <c r="A336" t="s">
        <v>334</v>
      </c>
      <c r="B336">
        <v>4.0221402150000003</v>
      </c>
      <c r="C336">
        <v>3.909642506</v>
      </c>
      <c r="D336">
        <v>3.7835334779999998</v>
      </c>
      <c r="E336">
        <v>3.5110499019999999</v>
      </c>
      <c r="F336">
        <v>2.9554051750000001</v>
      </c>
      <c r="G336">
        <v>2.58730065</v>
      </c>
      <c r="H336">
        <v>2.2736552109999999</v>
      </c>
      <c r="I336">
        <v>2.0376947009999999</v>
      </c>
      <c r="L336">
        <v>7.9470706318295005E-4</v>
      </c>
      <c r="M336">
        <f t="shared" si="2"/>
        <v>4.1324767285513406</v>
      </c>
    </row>
    <row r="337" spans="1:13">
      <c r="A337" t="s">
        <v>335</v>
      </c>
      <c r="B337">
        <v>3.8646641779999999</v>
      </c>
      <c r="C337">
        <v>3.738882431</v>
      </c>
      <c r="D337">
        <v>3.6469563659999999</v>
      </c>
      <c r="E337">
        <v>3.2718740739999999</v>
      </c>
      <c r="F337">
        <v>2.8466704630000002</v>
      </c>
      <c r="G337">
        <v>2.4876196240000001</v>
      </c>
      <c r="H337">
        <v>2.2044782810000001</v>
      </c>
      <c r="I337">
        <v>1.9999057499999999</v>
      </c>
      <c r="L337">
        <v>7.6370992794626497E-4</v>
      </c>
      <c r="M337">
        <f t="shared" si="2"/>
        <v>3.9712916253205779</v>
      </c>
    </row>
    <row r="338" spans="1:13">
      <c r="A338" t="s">
        <v>336</v>
      </c>
      <c r="B338">
        <v>3.8646136709999999</v>
      </c>
      <c r="C338">
        <v>3.7549685209999999</v>
      </c>
      <c r="D338">
        <v>3.6160969079999998</v>
      </c>
      <c r="E338">
        <v>3.3624056320000002</v>
      </c>
      <c r="F338">
        <v>2.9606138180000001</v>
      </c>
      <c r="G338">
        <v>2.6212250789999998</v>
      </c>
      <c r="H338">
        <v>2.348185178</v>
      </c>
      <c r="I338">
        <v>2.1220955109999999</v>
      </c>
      <c r="L338">
        <v>7.6354122599980401E-4</v>
      </c>
      <c r="M338">
        <f t="shared" si="2"/>
        <v>3.9704143751989807</v>
      </c>
    </row>
    <row r="339" spans="1:13">
      <c r="A339" t="s">
        <v>337</v>
      </c>
      <c r="B339">
        <v>3.9436918840000001</v>
      </c>
      <c r="C339">
        <v>3.7543811790000001</v>
      </c>
      <c r="D339">
        <v>3.599873815</v>
      </c>
      <c r="E339">
        <v>3.3163891570000001</v>
      </c>
      <c r="F339">
        <v>2.9230794059999998</v>
      </c>
      <c r="G339">
        <v>2.583993317</v>
      </c>
      <c r="H339">
        <v>2.3317995169999999</v>
      </c>
      <c r="I339">
        <v>2.1163550619999998</v>
      </c>
      <c r="L339">
        <v>7.7886027041583505E-4</v>
      </c>
      <c r="M339">
        <f t="shared" si="2"/>
        <v>4.0500734061623422</v>
      </c>
    </row>
    <row r="340" spans="1:13">
      <c r="A340" t="s">
        <v>338</v>
      </c>
      <c r="B340">
        <v>3.9597767199999998</v>
      </c>
      <c r="C340">
        <v>3.7077887359999999</v>
      </c>
      <c r="D340">
        <v>3.3996926360000002</v>
      </c>
      <c r="E340">
        <v>3.1383035650000002</v>
      </c>
      <c r="F340">
        <v>2.8324146429999999</v>
      </c>
      <c r="G340">
        <v>2.5025238650000001</v>
      </c>
      <c r="H340">
        <v>2.2186273330000001</v>
      </c>
      <c r="I340">
        <v>1.9923652789999999</v>
      </c>
      <c r="L340">
        <v>7.8185254982484297E-4</v>
      </c>
      <c r="M340">
        <f t="shared" si="2"/>
        <v>4.065633259089183</v>
      </c>
    </row>
    <row r="341" spans="1:13">
      <c r="A341" t="s">
        <v>339</v>
      </c>
      <c r="B341">
        <v>3.849244535</v>
      </c>
      <c r="C341">
        <v>3.6769360629999999</v>
      </c>
      <c r="D341">
        <v>3.4929063500000002</v>
      </c>
      <c r="E341">
        <v>3.1837425229999998</v>
      </c>
      <c r="F341">
        <v>2.764453498</v>
      </c>
      <c r="G341">
        <v>2.4560256790000001</v>
      </c>
      <c r="H341">
        <v>2.1623172620000002</v>
      </c>
      <c r="I341">
        <v>1.9259026509999999</v>
      </c>
      <c r="L341">
        <v>7.6008029078475804E-4</v>
      </c>
      <c r="M341">
        <f t="shared" si="2"/>
        <v>3.9524175120807419</v>
      </c>
    </row>
    <row r="342" spans="1:13">
      <c r="A342" t="s">
        <v>340</v>
      </c>
      <c r="B342">
        <v>3.6445459109999998</v>
      </c>
      <c r="C342">
        <v>3.4900376259999999</v>
      </c>
      <c r="D342">
        <v>3.3702982879999999</v>
      </c>
      <c r="E342">
        <v>3.0658821449999998</v>
      </c>
      <c r="F342">
        <v>2.573261467</v>
      </c>
      <c r="G342">
        <v>2.2346562350000001</v>
      </c>
      <c r="H342">
        <v>1.961794584</v>
      </c>
      <c r="I342">
        <v>1.724620032</v>
      </c>
      <c r="L342">
        <v>7.1990383250450504E-4</v>
      </c>
      <c r="M342">
        <f t="shared" si="2"/>
        <v>3.7434999290234261</v>
      </c>
    </row>
    <row r="343" spans="1:13">
      <c r="A343" t="s">
        <v>341</v>
      </c>
      <c r="B343">
        <v>3.8652736939999999</v>
      </c>
      <c r="C343">
        <v>3.7867545169999999</v>
      </c>
      <c r="D343">
        <v>3.6480834949999998</v>
      </c>
      <c r="E343">
        <v>3.2441112140000001</v>
      </c>
      <c r="F343">
        <v>2.7610388700000001</v>
      </c>
      <c r="G343">
        <v>2.3820649559999998</v>
      </c>
      <c r="H343">
        <v>2.109544997</v>
      </c>
      <c r="I343">
        <v>1.8835216910000001</v>
      </c>
      <c r="L343">
        <v>7.6292943884451896E-4</v>
      </c>
      <c r="M343">
        <f t="shared" si="2"/>
        <v>3.9672330819914987</v>
      </c>
    </row>
    <row r="344" spans="1:13">
      <c r="A344" t="s">
        <v>342</v>
      </c>
      <c r="B344">
        <v>3.8494968749999998</v>
      </c>
      <c r="C344">
        <v>3.8178513449999998</v>
      </c>
      <c r="D344">
        <v>3.5865256209999998</v>
      </c>
      <c r="E344">
        <v>3.1977006750000001</v>
      </c>
      <c r="F344">
        <v>2.7045199520000001</v>
      </c>
      <c r="G344">
        <v>2.3264169520000002</v>
      </c>
      <c r="H344">
        <v>2.054408096</v>
      </c>
      <c r="I344">
        <v>1.83939857</v>
      </c>
      <c r="L344">
        <v>7.5970677869190801E-4</v>
      </c>
      <c r="M344">
        <f t="shared" si="2"/>
        <v>3.9504752491979218</v>
      </c>
    </row>
    <row r="345" spans="1:13">
      <c r="A345" t="s">
        <v>343</v>
      </c>
      <c r="B345">
        <v>3.9282262370000001</v>
      </c>
      <c r="C345">
        <v>3.7702682080000001</v>
      </c>
      <c r="D345">
        <v>3.646674414</v>
      </c>
      <c r="E345">
        <v>3.3777168940000002</v>
      </c>
      <c r="F345">
        <v>2.8261175070000002</v>
      </c>
      <c r="G345">
        <v>2.4285726030000001</v>
      </c>
      <c r="H345">
        <v>2.126143109</v>
      </c>
      <c r="I345">
        <v>1.8906901009999999</v>
      </c>
      <c r="L345">
        <v>7.7496044635625805E-4</v>
      </c>
      <c r="M345">
        <f t="shared" si="2"/>
        <v>4.0297943210525418</v>
      </c>
    </row>
    <row r="346" spans="1:13">
      <c r="A346" t="s">
        <v>344</v>
      </c>
      <c r="B346">
        <v>3.865476734</v>
      </c>
      <c r="C346">
        <v>3.7869025569999999</v>
      </c>
      <c r="D346">
        <v>3.5712286459999998</v>
      </c>
      <c r="E346">
        <v>3.1699673449999999</v>
      </c>
      <c r="F346">
        <v>2.5328280190000001</v>
      </c>
      <c r="G346">
        <v>2.1361607540000001</v>
      </c>
      <c r="H346">
        <v>1.8443830960000001</v>
      </c>
      <c r="I346">
        <v>1.6195258189999999</v>
      </c>
      <c r="L346">
        <v>7.6256298551572799E-4</v>
      </c>
      <c r="M346">
        <f t="shared" si="2"/>
        <v>3.9653275246817854</v>
      </c>
    </row>
    <row r="347" spans="1:13">
      <c r="A347" t="s">
        <v>345</v>
      </c>
      <c r="B347">
        <v>3.8022181750000001</v>
      </c>
      <c r="C347">
        <v>3.614957918</v>
      </c>
      <c r="D347">
        <v>3.4477127040000002</v>
      </c>
      <c r="E347">
        <v>3.067640656</v>
      </c>
      <c r="F347">
        <v>2.3528013379999999</v>
      </c>
      <c r="G347">
        <v>1.9465213189999999</v>
      </c>
      <c r="H347">
        <v>1.685998272</v>
      </c>
      <c r="I347">
        <v>1.4714065679999999</v>
      </c>
      <c r="L347">
        <v>7.5007312276506501E-4</v>
      </c>
      <c r="M347">
        <f t="shared" si="2"/>
        <v>3.9003802383783381</v>
      </c>
    </row>
    <row r="348" spans="1:13">
      <c r="A348" t="s">
        <v>346</v>
      </c>
      <c r="B348">
        <v>3.8177928109999999</v>
      </c>
      <c r="C348">
        <v>3.723871693</v>
      </c>
      <c r="D348">
        <v>3.4637478970000002</v>
      </c>
      <c r="E348">
        <v>3.0360826859999999</v>
      </c>
      <c r="F348">
        <v>2.333774284</v>
      </c>
      <c r="G348">
        <v>1.9378600539999999</v>
      </c>
      <c r="H348">
        <v>1.6670943030000001</v>
      </c>
      <c r="I348">
        <v>1.4634793930000001</v>
      </c>
      <c r="L348">
        <v>7.5299100137791704E-4</v>
      </c>
      <c r="M348">
        <f t="shared" si="2"/>
        <v>3.9155532071651686</v>
      </c>
    </row>
    <row r="349" spans="1:13">
      <c r="A349" t="s">
        <v>347</v>
      </c>
      <c r="B349">
        <v>3.8650699909999999</v>
      </c>
      <c r="C349">
        <v>3.723871693</v>
      </c>
      <c r="D349">
        <v>3.5094860410000002</v>
      </c>
      <c r="E349">
        <v>3.1435220080000001</v>
      </c>
      <c r="F349">
        <v>2.283650765</v>
      </c>
      <c r="G349">
        <v>1.8489226620000001</v>
      </c>
      <c r="H349">
        <v>1.568974452</v>
      </c>
      <c r="I349">
        <v>1.344902789</v>
      </c>
      <c r="L349">
        <v>7.6210289934812599E-4</v>
      </c>
      <c r="M349">
        <f t="shared" si="2"/>
        <v>3.9629350766102553</v>
      </c>
    </row>
    <row r="350" spans="1:13">
      <c r="A350" t="s">
        <v>348</v>
      </c>
      <c r="B350">
        <v>3.880795794</v>
      </c>
      <c r="C350">
        <v>3.676691908</v>
      </c>
      <c r="D350">
        <v>3.6004290449999998</v>
      </c>
      <c r="E350">
        <v>3.0351642170000002</v>
      </c>
      <c r="F350">
        <v>2.3124160159999998</v>
      </c>
      <c r="G350">
        <v>1.886598402</v>
      </c>
      <c r="H350">
        <v>1.595687673</v>
      </c>
      <c r="I350">
        <v>1.39269303</v>
      </c>
      <c r="L350">
        <v>7.6505249285790597E-4</v>
      </c>
      <c r="M350">
        <f t="shared" si="2"/>
        <v>3.9782729628611109</v>
      </c>
    </row>
    <row r="351" spans="1:13">
      <c r="A351" t="s">
        <v>349</v>
      </c>
      <c r="B351">
        <v>3.8966217049999998</v>
      </c>
      <c r="C351">
        <v>3.7077887359999999</v>
      </c>
      <c r="D351">
        <v>3.4773402259999999</v>
      </c>
      <c r="E351">
        <v>3.0212279999999998</v>
      </c>
      <c r="F351">
        <v>2.118587969</v>
      </c>
      <c r="G351">
        <v>1.654164422</v>
      </c>
      <c r="H351">
        <v>1.374718712</v>
      </c>
      <c r="I351">
        <v>1.161550012</v>
      </c>
      <c r="L351">
        <v>7.6802316419490502E-4</v>
      </c>
      <c r="M351">
        <f t="shared" si="2"/>
        <v>3.993720453813506</v>
      </c>
    </row>
    <row r="352" spans="1:13">
      <c r="A352" t="s">
        <v>350</v>
      </c>
      <c r="B352">
        <v>3.7860902740000002</v>
      </c>
      <c r="C352">
        <v>3.613544294</v>
      </c>
      <c r="D352">
        <v>3.368474816</v>
      </c>
      <c r="E352">
        <v>2.912146119</v>
      </c>
      <c r="F352">
        <v>2.1087554310000001</v>
      </c>
      <c r="G352">
        <v>1.6738149019999999</v>
      </c>
      <c r="H352">
        <v>1.404039351</v>
      </c>
      <c r="I352">
        <v>1.201008855</v>
      </c>
      <c r="L352">
        <v>7.4632578117436895E-4</v>
      </c>
      <c r="M352">
        <f t="shared" si="2"/>
        <v>3.8808940621067185</v>
      </c>
    </row>
    <row r="353" spans="1:13">
      <c r="A353" t="s">
        <v>351</v>
      </c>
      <c r="B353">
        <v>3.7702655749999998</v>
      </c>
      <c r="C353">
        <v>3.566380857</v>
      </c>
      <c r="D353">
        <v>3.3672746949999999</v>
      </c>
      <c r="E353">
        <v>2.8785366890000001</v>
      </c>
      <c r="F353">
        <v>2.2132811280000002</v>
      </c>
      <c r="G353">
        <v>1.8371657640000001</v>
      </c>
      <c r="H353">
        <v>1.586613711</v>
      </c>
      <c r="I353">
        <v>1.3930310109999999</v>
      </c>
      <c r="L353">
        <v>7.4312466757727803E-4</v>
      </c>
      <c r="M353">
        <f t="shared" si="2"/>
        <v>3.8642482714018458</v>
      </c>
    </row>
    <row r="354" spans="1:13">
      <c r="A354" t="s">
        <v>352</v>
      </c>
      <c r="B354">
        <v>3.8650203740000002</v>
      </c>
      <c r="C354">
        <v>3.676548478</v>
      </c>
      <c r="D354">
        <v>3.521963392</v>
      </c>
      <c r="E354">
        <v>3.0449575850000001</v>
      </c>
      <c r="F354">
        <v>2.1795883310000002</v>
      </c>
      <c r="G354">
        <v>1.794823002</v>
      </c>
      <c r="H354">
        <v>1.5450625769999999</v>
      </c>
      <c r="I354">
        <v>1.3520173259999999</v>
      </c>
      <c r="L354">
        <v>7.6150937664320301E-4</v>
      </c>
      <c r="M354">
        <f t="shared" si="2"/>
        <v>3.9598487585446556</v>
      </c>
    </row>
    <row r="355" spans="1:13">
      <c r="A355" t="s">
        <v>353</v>
      </c>
      <c r="B355">
        <v>3.6441570589999999</v>
      </c>
      <c r="C355">
        <v>3.5820682420000001</v>
      </c>
      <c r="D355">
        <v>3.3059980119999999</v>
      </c>
      <c r="E355">
        <v>2.9090716049999998</v>
      </c>
      <c r="F355">
        <v>2.0279048940000002</v>
      </c>
      <c r="G355">
        <v>1.673676653</v>
      </c>
      <c r="H355">
        <v>1.4340942210000001</v>
      </c>
      <c r="I355">
        <v>1.251456798</v>
      </c>
      <c r="L355">
        <v>7.1829810771498301E-4</v>
      </c>
      <c r="M355">
        <f t="shared" si="2"/>
        <v>3.7351501601179118</v>
      </c>
    </row>
    <row r="356" spans="1:13">
      <c r="A356" t="s">
        <v>354</v>
      </c>
      <c r="B356">
        <v>3.7545897780000002</v>
      </c>
      <c r="C356">
        <v>3.5509714140000002</v>
      </c>
      <c r="D356">
        <v>3.2903468889999998</v>
      </c>
      <c r="E356">
        <v>2.8785366890000001</v>
      </c>
      <c r="F356">
        <v>2.046493838</v>
      </c>
      <c r="G356">
        <v>1.6915268409999999</v>
      </c>
      <c r="H356">
        <v>1.4722189960000001</v>
      </c>
      <c r="I356">
        <v>1.299616163</v>
      </c>
      <c r="L356">
        <v>7.3974435857140496E-4</v>
      </c>
      <c r="M356">
        <f t="shared" si="2"/>
        <v>3.8466706645713056</v>
      </c>
    </row>
    <row r="357" spans="1:13">
      <c r="A357" t="s">
        <v>355</v>
      </c>
      <c r="B357">
        <v>3.7073126969999999</v>
      </c>
      <c r="C357">
        <v>3.519773357</v>
      </c>
      <c r="D357">
        <v>3.2290522890000002</v>
      </c>
      <c r="E357">
        <v>2.820796541</v>
      </c>
      <c r="F357">
        <v>1.8552565620000001</v>
      </c>
      <c r="G357">
        <v>1.4812856109999999</v>
      </c>
      <c r="H357">
        <v>1.252309186</v>
      </c>
      <c r="I357">
        <v>1.0801494169999999</v>
      </c>
      <c r="L357">
        <v>7.3041821138106395E-4</v>
      </c>
      <c r="M357">
        <f t="shared" si="2"/>
        <v>3.7981746991815326</v>
      </c>
    </row>
    <row r="358" spans="1:13">
      <c r="A358" t="s">
        <v>356</v>
      </c>
      <c r="B358">
        <v>3.8492945719999998</v>
      </c>
      <c r="C358">
        <v>3.660569782</v>
      </c>
      <c r="D358">
        <v>3.260155862</v>
      </c>
      <c r="E358">
        <v>2.7306454090000001</v>
      </c>
      <c r="F358">
        <v>1.868753192</v>
      </c>
      <c r="G358">
        <v>1.4741481940000001</v>
      </c>
      <c r="H358">
        <v>1.2451078630000001</v>
      </c>
      <c r="I358">
        <v>1.0836314499999999</v>
      </c>
      <c r="L358">
        <v>7.5801493324516604E-4</v>
      </c>
      <c r="M358">
        <f t="shared" si="2"/>
        <v>3.9416776528748634</v>
      </c>
    </row>
    <row r="359" spans="1:13">
      <c r="A359" t="s">
        <v>357</v>
      </c>
      <c r="B359">
        <v>3.5339174180000001</v>
      </c>
      <c r="C359">
        <v>3.3015857149999999</v>
      </c>
      <c r="D359">
        <v>2.9832230719999999</v>
      </c>
      <c r="E359">
        <v>2.2373219959999999</v>
      </c>
      <c r="F359">
        <v>1.435307707</v>
      </c>
      <c r="G359">
        <v>1.1100298749999999</v>
      </c>
      <c r="H359">
        <v>0.95187471199999996</v>
      </c>
      <c r="I359">
        <v>0.84171075299999998</v>
      </c>
      <c r="L359">
        <v>6.9640192433479396E-4</v>
      </c>
      <c r="M359">
        <f t="shared" si="2"/>
        <v>3.6212900065409284</v>
      </c>
    </row>
    <row r="360" spans="1:13">
      <c r="A360" t="s">
        <v>358</v>
      </c>
      <c r="B360">
        <v>3.313301483</v>
      </c>
      <c r="C360">
        <v>3.0208275850000001</v>
      </c>
      <c r="D360">
        <v>2.7539931489999998</v>
      </c>
      <c r="E360">
        <v>1.9978487119999999</v>
      </c>
      <c r="F360">
        <v>1.1889379339999999</v>
      </c>
      <c r="G360">
        <v>0.90362387099999997</v>
      </c>
      <c r="H360">
        <v>0.75517503200000002</v>
      </c>
      <c r="I360">
        <v>0.65503634600000005</v>
      </c>
      <c r="L360">
        <v>6.5328698794524503E-4</v>
      </c>
      <c r="M360">
        <f t="shared" si="2"/>
        <v>3.3970923373152742</v>
      </c>
    </row>
    <row r="361" spans="1:13">
      <c r="A361" t="s">
        <v>359</v>
      </c>
      <c r="B361">
        <v>3.5968753499999999</v>
      </c>
      <c r="C361">
        <v>3.2071490379999998</v>
      </c>
      <c r="D361">
        <v>2.859119384</v>
      </c>
      <c r="E361">
        <v>2.0998540139999999</v>
      </c>
      <c r="F361">
        <v>1.281875461</v>
      </c>
      <c r="G361">
        <v>0.98707485500000003</v>
      </c>
      <c r="H361">
        <v>0.83906637100000003</v>
      </c>
      <c r="I361">
        <v>0.76057174100000002</v>
      </c>
      <c r="L361">
        <v>7.0849736792001801E-4</v>
      </c>
      <c r="M361">
        <f t="shared" si="2"/>
        <v>3.6841863131840937</v>
      </c>
    </row>
    <row r="362" spans="1:13">
      <c r="A362" t="s">
        <v>360</v>
      </c>
      <c r="B362">
        <v>3.6916355460000001</v>
      </c>
      <c r="C362">
        <v>3.2075010310000001</v>
      </c>
      <c r="D362">
        <v>2.8448969220000002</v>
      </c>
      <c r="E362">
        <v>1.905062649</v>
      </c>
      <c r="F362">
        <v>1.1896603800000001</v>
      </c>
      <c r="G362">
        <v>0.88388460899999999</v>
      </c>
      <c r="H362">
        <v>0.70450206100000001</v>
      </c>
      <c r="I362">
        <v>0.59409768600000001</v>
      </c>
      <c r="L362">
        <v>7.2688296222738001E-4</v>
      </c>
      <c r="M362">
        <f t="shared" si="2"/>
        <v>3.7797914035823759</v>
      </c>
    </row>
    <row r="363" spans="1:13">
      <c r="A363" t="s">
        <v>361</v>
      </c>
      <c r="B363">
        <v>3.281235906</v>
      </c>
      <c r="C363">
        <v>2.8472250360000002</v>
      </c>
      <c r="D363">
        <v>2.3645515650000002</v>
      </c>
      <c r="E363">
        <v>1.6159261519999999</v>
      </c>
      <c r="F363">
        <v>0.882119129</v>
      </c>
      <c r="G363">
        <v>0.60668798499999999</v>
      </c>
      <c r="H363">
        <v>0.47861817400000001</v>
      </c>
      <c r="I363">
        <v>0.39922059900000001</v>
      </c>
      <c r="L363">
        <v>6.4678869769158802E-4</v>
      </c>
      <c r="M363">
        <f t="shared" si="2"/>
        <v>3.3633012279962577</v>
      </c>
    </row>
    <row r="364" spans="1:13">
      <c r="A364" t="s">
        <v>362</v>
      </c>
      <c r="B364">
        <v>3.1862412020000002</v>
      </c>
      <c r="C364">
        <v>2.7835607449999999</v>
      </c>
      <c r="D364">
        <v>2.301130203</v>
      </c>
      <c r="E364">
        <v>1.461984312</v>
      </c>
      <c r="F364">
        <v>0.89345854899999999</v>
      </c>
      <c r="G364">
        <v>0.61689976700000004</v>
      </c>
      <c r="H364">
        <v>0.47798132399999999</v>
      </c>
      <c r="I364">
        <v>0.40911078899999997</v>
      </c>
      <c r="L364">
        <v>6.2819379592572602E-4</v>
      </c>
      <c r="M364">
        <f t="shared" si="2"/>
        <v>3.2666077388137755</v>
      </c>
    </row>
    <row r="365" spans="1:13">
      <c r="A365" t="s">
        <v>363</v>
      </c>
      <c r="B365">
        <v>3.2334815749999999</v>
      </c>
      <c r="C365">
        <v>2.7989091359999998</v>
      </c>
      <c r="D365">
        <v>2.3322495179999998</v>
      </c>
      <c r="E365">
        <v>1.6139771279999999</v>
      </c>
      <c r="F365">
        <v>1.00831095</v>
      </c>
      <c r="G365">
        <v>0.73206515999999999</v>
      </c>
      <c r="H365">
        <v>0.60362428599999995</v>
      </c>
      <c r="I365">
        <v>0.51339448799999998</v>
      </c>
      <c r="L365">
        <v>6.3732562963643902E-4</v>
      </c>
      <c r="M365">
        <f t="shared" ref="M365:M396" si="3">L365*5200</f>
        <v>3.3140932741094828</v>
      </c>
    </row>
    <row r="366" spans="1:13">
      <c r="A366" t="s">
        <v>364</v>
      </c>
      <c r="B366">
        <v>3.281063069</v>
      </c>
      <c r="C366">
        <v>2.7675768390000002</v>
      </c>
      <c r="D366">
        <v>2.4407654609999998</v>
      </c>
      <c r="E366">
        <v>1.5681083769999999</v>
      </c>
      <c r="F366">
        <v>0.960444411</v>
      </c>
      <c r="G366">
        <v>0.68430648199999999</v>
      </c>
      <c r="H366">
        <v>0.54553607100000001</v>
      </c>
      <c r="I366">
        <v>0.46605477699999998</v>
      </c>
      <c r="L366">
        <v>6.4652309997701503E-4</v>
      </c>
      <c r="M366">
        <f t="shared" si="3"/>
        <v>3.361920119880478</v>
      </c>
    </row>
    <row r="367" spans="1:13">
      <c r="A367" t="s">
        <v>365</v>
      </c>
      <c r="B367">
        <v>3.0598904029999998</v>
      </c>
      <c r="C367">
        <v>2.9553128040000001</v>
      </c>
      <c r="D367">
        <v>2.470758714</v>
      </c>
      <c r="E367">
        <v>1.4165176960000001</v>
      </c>
      <c r="F367">
        <v>0.98294674599999998</v>
      </c>
      <c r="G367">
        <v>0.70553413600000003</v>
      </c>
      <c r="H367">
        <v>0.57648742500000005</v>
      </c>
      <c r="I367">
        <v>0.48586384599999999</v>
      </c>
      <c r="L367">
        <v>6.0335320478128204E-4</v>
      </c>
      <c r="M367">
        <f t="shared" si="3"/>
        <v>3.1374366648626668</v>
      </c>
    </row>
    <row r="368" spans="1:13">
      <c r="A368" t="s">
        <v>366</v>
      </c>
      <c r="B368">
        <v>2.8550746679999999</v>
      </c>
      <c r="C368">
        <v>2.674859729</v>
      </c>
      <c r="D368">
        <v>2.179090687</v>
      </c>
      <c r="E368">
        <v>1.465075594</v>
      </c>
      <c r="F368">
        <v>0.82812066399999995</v>
      </c>
      <c r="G368">
        <v>0.59208196599999996</v>
      </c>
      <c r="H368">
        <v>0.48379957899999998</v>
      </c>
      <c r="I368">
        <v>0.40358819000000001</v>
      </c>
      <c r="L368">
        <v>5.63381202634131E-4</v>
      </c>
      <c r="M368">
        <f t="shared" si="3"/>
        <v>2.9295822536974812</v>
      </c>
    </row>
    <row r="369" spans="1:13">
      <c r="A369" t="s">
        <v>367</v>
      </c>
      <c r="B369">
        <v>2.761097431</v>
      </c>
      <c r="C369">
        <v>2.409666294</v>
      </c>
      <c r="D369">
        <v>2.0100707610000002</v>
      </c>
      <c r="E369">
        <v>1.330262872</v>
      </c>
      <c r="F369">
        <v>0.76384215200000005</v>
      </c>
      <c r="G369">
        <v>0.52718545299999997</v>
      </c>
      <c r="H369">
        <v>0.40825924299999999</v>
      </c>
      <c r="I369">
        <v>0.32795365999999998</v>
      </c>
      <c r="L369">
        <v>5.4501123437218505E-4</v>
      </c>
      <c r="M369">
        <f t="shared" si="3"/>
        <v>2.8340584187353621</v>
      </c>
    </row>
    <row r="370" spans="1:13">
      <c r="A370" t="s">
        <v>368</v>
      </c>
      <c r="B370">
        <v>2.4610845939999999</v>
      </c>
      <c r="C370">
        <v>2.2533230799999999</v>
      </c>
      <c r="D370">
        <v>1.856067726</v>
      </c>
      <c r="E370">
        <v>1.224882365</v>
      </c>
      <c r="F370">
        <v>0.68844083700000003</v>
      </c>
      <c r="G370">
        <v>0.48158077300000002</v>
      </c>
      <c r="H370">
        <v>0.37250203700000001</v>
      </c>
      <c r="I370">
        <v>0.30243688800000001</v>
      </c>
      <c r="L370">
        <v>4.86513983818716E-4</v>
      </c>
      <c r="M370">
        <f t="shared" si="3"/>
        <v>2.5298727158573233</v>
      </c>
    </row>
    <row r="371" spans="1:13">
      <c r="A371" t="s">
        <v>369</v>
      </c>
      <c r="B371">
        <v>2.7292410469999999</v>
      </c>
      <c r="C371">
        <v>2.409666294</v>
      </c>
      <c r="D371">
        <v>1.871392452</v>
      </c>
      <c r="E371">
        <v>1.2100585619999999</v>
      </c>
      <c r="F371">
        <v>0.66927433999999997</v>
      </c>
      <c r="G371">
        <v>0.47244781800000002</v>
      </c>
      <c r="H371">
        <v>0.37362330300000002</v>
      </c>
      <c r="I371">
        <v>0.31401753700000001</v>
      </c>
      <c r="L371">
        <v>5.3868856829137701E-4</v>
      </c>
      <c r="M371">
        <f t="shared" si="3"/>
        <v>2.8011805551151605</v>
      </c>
    </row>
    <row r="372" spans="1:13">
      <c r="A372" t="s">
        <v>370</v>
      </c>
      <c r="B372">
        <v>2.3822792650000002</v>
      </c>
      <c r="C372">
        <v>2.300437091</v>
      </c>
      <c r="D372">
        <v>1.8872442330000001</v>
      </c>
      <c r="E372">
        <v>1.180295117</v>
      </c>
      <c r="F372">
        <v>0.67068700299999995</v>
      </c>
      <c r="G372">
        <v>0.47367881099999998</v>
      </c>
      <c r="H372">
        <v>0.37475393000000001</v>
      </c>
      <c r="I372">
        <v>0.31510288600000003</v>
      </c>
      <c r="L372">
        <v>4.7106358929693501E-4</v>
      </c>
      <c r="M372">
        <f t="shared" si="3"/>
        <v>2.4495306643440622</v>
      </c>
    </row>
    <row r="373" spans="1:13">
      <c r="A373" t="s">
        <v>371</v>
      </c>
      <c r="B373">
        <v>2.3192856060000002</v>
      </c>
      <c r="C373">
        <v>2.1288873110000002</v>
      </c>
      <c r="D373">
        <v>1.7799248270000001</v>
      </c>
      <c r="E373">
        <v>1.1212888329999999</v>
      </c>
      <c r="F373">
        <v>0.64425393799999997</v>
      </c>
      <c r="G373">
        <v>0.44696007900000001</v>
      </c>
      <c r="H373">
        <v>0.34785202700000001</v>
      </c>
      <c r="I373">
        <v>0.27744392400000001</v>
      </c>
      <c r="L373">
        <v>4.5874842533920898E-4</v>
      </c>
      <c r="M373">
        <f t="shared" si="3"/>
        <v>2.3854918117638868</v>
      </c>
    </row>
    <row r="374" spans="1:13">
      <c r="A374" t="s">
        <v>372</v>
      </c>
      <c r="B374">
        <v>2.556198744</v>
      </c>
      <c r="C374">
        <v>2.2698900530000001</v>
      </c>
      <c r="D374">
        <v>1.9652005509999999</v>
      </c>
      <c r="E374">
        <v>1.2570784049999999</v>
      </c>
      <c r="F374">
        <v>0.660070673</v>
      </c>
      <c r="G374">
        <v>0.44353944499999998</v>
      </c>
      <c r="H374">
        <v>0.33469954600000001</v>
      </c>
      <c r="I374">
        <v>0.25411426199999998</v>
      </c>
      <c r="L374">
        <v>5.0482891980559099E-4</v>
      </c>
      <c r="M374">
        <f t="shared" si="3"/>
        <v>2.6251103829890732</v>
      </c>
    </row>
    <row r="375" spans="1:13">
      <c r="A375" t="s">
        <v>373</v>
      </c>
      <c r="B375">
        <v>2.6351186590000002</v>
      </c>
      <c r="C375">
        <v>2.3012280490000001</v>
      </c>
      <c r="D375">
        <v>1.8884124710000001</v>
      </c>
      <c r="E375">
        <v>1.166863143</v>
      </c>
      <c r="F375">
        <v>0.66267941900000005</v>
      </c>
      <c r="G375">
        <v>0.44551880799999999</v>
      </c>
      <c r="H375">
        <v>0.31582456399999997</v>
      </c>
      <c r="I375">
        <v>0.235407011</v>
      </c>
      <c r="L375">
        <v>5.2014243526861696E-4</v>
      </c>
      <c r="M375">
        <f t="shared" si="3"/>
        <v>2.7047406633968083</v>
      </c>
    </row>
    <row r="376" spans="1:13">
      <c r="A376" t="s">
        <v>374</v>
      </c>
      <c r="B376">
        <v>2.4453170160000002</v>
      </c>
      <c r="C376">
        <v>2.4421524859999999</v>
      </c>
      <c r="D376">
        <v>2.0278814600000001</v>
      </c>
      <c r="E376">
        <v>1.0598735640000001</v>
      </c>
      <c r="F376">
        <v>0.75353453000000004</v>
      </c>
      <c r="G376">
        <v>0.52541734399999995</v>
      </c>
      <c r="H376">
        <v>0.40565605399999999</v>
      </c>
      <c r="I376">
        <v>0.32490329400000001</v>
      </c>
      <c r="L376">
        <v>4.83143715368438E-4</v>
      </c>
      <c r="M376">
        <f t="shared" si="3"/>
        <v>2.5123473199158775</v>
      </c>
    </row>
    <row r="377" spans="1:13">
      <c r="A377" t="s">
        <v>375</v>
      </c>
      <c r="B377">
        <v>2.855824234</v>
      </c>
      <c r="C377">
        <v>2.5044774319999998</v>
      </c>
      <c r="D377">
        <v>2.1212042969999998</v>
      </c>
      <c r="E377">
        <v>1.0297930550000001</v>
      </c>
      <c r="F377">
        <v>0.77357656399999997</v>
      </c>
      <c r="G377">
        <v>0.53493378800000002</v>
      </c>
      <c r="H377">
        <v>0.41503398699999999</v>
      </c>
      <c r="I377">
        <v>0.34478866400000002</v>
      </c>
      <c r="L377">
        <v>5.6299923241813195E-4</v>
      </c>
      <c r="M377">
        <f t="shared" si="3"/>
        <v>2.927596008574286</v>
      </c>
    </row>
    <row r="378" spans="1:13">
      <c r="A378" t="s">
        <v>376</v>
      </c>
      <c r="B378">
        <v>2.8241068070000002</v>
      </c>
      <c r="C378">
        <v>2.644968167</v>
      </c>
      <c r="D378">
        <v>2.1664222550000001</v>
      </c>
      <c r="E378">
        <v>1.180748001</v>
      </c>
      <c r="F378">
        <v>0.80912699700000001</v>
      </c>
      <c r="G378">
        <v>0.56143884799999999</v>
      </c>
      <c r="H378">
        <v>0.43184730399999999</v>
      </c>
      <c r="I378">
        <v>0.35148751299999997</v>
      </c>
      <c r="L378">
        <v>5.5677228384240095E-4</v>
      </c>
      <c r="M378">
        <f t="shared" si="3"/>
        <v>2.8952158759804849</v>
      </c>
    </row>
    <row r="379" spans="1:13">
      <c r="A379" t="s">
        <v>377</v>
      </c>
      <c r="B379">
        <v>2.9347101439999999</v>
      </c>
      <c r="C379">
        <v>2.6606420050000001</v>
      </c>
      <c r="D379">
        <v>2.1972528809999998</v>
      </c>
      <c r="E379">
        <v>1.46951483</v>
      </c>
      <c r="F379">
        <v>0.82233307300000003</v>
      </c>
      <c r="G379">
        <v>0.58638429400000003</v>
      </c>
      <c r="H379">
        <v>0.45760636100000002</v>
      </c>
      <c r="I379">
        <v>0.36718632800000001</v>
      </c>
      <c r="L379">
        <v>5.78243867951354E-4</v>
      </c>
      <c r="M379">
        <f t="shared" si="3"/>
        <v>3.006868113347041</v>
      </c>
    </row>
    <row r="380" spans="1:13">
      <c r="A380" t="s">
        <v>378</v>
      </c>
      <c r="B380">
        <v>2.8875078570000001</v>
      </c>
      <c r="C380">
        <v>2.551611614</v>
      </c>
      <c r="D380">
        <v>2.1050124239999999</v>
      </c>
      <c r="E380">
        <v>1.424363598</v>
      </c>
      <c r="F380">
        <v>0.80417811500000003</v>
      </c>
      <c r="G380">
        <v>0.578079864</v>
      </c>
      <c r="H380">
        <v>0.44914511099999999</v>
      </c>
      <c r="I380">
        <v>0.36925473399999997</v>
      </c>
      <c r="L380">
        <v>5.6900517886180203E-4</v>
      </c>
      <c r="M380">
        <f t="shared" si="3"/>
        <v>2.9588269300813708</v>
      </c>
    </row>
    <row r="381" spans="1:13">
      <c r="A381" t="s">
        <v>379</v>
      </c>
      <c r="B381">
        <v>2.3189810180000001</v>
      </c>
      <c r="C381">
        <v>2.5046736900000002</v>
      </c>
      <c r="D381">
        <v>2.1525554229999999</v>
      </c>
      <c r="E381">
        <v>1.0601288980000001</v>
      </c>
      <c r="F381">
        <v>0.76370399300000003</v>
      </c>
      <c r="G381">
        <v>0.53562955300000004</v>
      </c>
      <c r="H381">
        <v>0.40565000099999998</v>
      </c>
      <c r="I381">
        <v>0.32508891499999998</v>
      </c>
      <c r="L381">
        <v>4.58334831475541E-4</v>
      </c>
      <c r="M381">
        <f t="shared" si="3"/>
        <v>2.383341123672813</v>
      </c>
    </row>
    <row r="382" spans="1:13">
      <c r="A382" t="s">
        <v>380</v>
      </c>
      <c r="B382">
        <v>2.682257259</v>
      </c>
      <c r="C382">
        <v>2.6613710699999999</v>
      </c>
      <c r="D382">
        <v>2.1051754499999999</v>
      </c>
      <c r="E382">
        <v>1.3644657039999999</v>
      </c>
      <c r="F382">
        <v>0.74728277899999995</v>
      </c>
      <c r="G382">
        <v>0.53115075300000003</v>
      </c>
      <c r="H382">
        <v>0.41236904899999999</v>
      </c>
      <c r="I382">
        <v>0.353403786</v>
      </c>
      <c r="L382">
        <v>5.2896995893860995E-4</v>
      </c>
      <c r="M382">
        <f t="shared" si="3"/>
        <v>2.7506437864807718</v>
      </c>
    </row>
    <row r="383" spans="1:13">
      <c r="A383" t="s">
        <v>381</v>
      </c>
      <c r="B383">
        <v>2.7137992139999998</v>
      </c>
      <c r="C383">
        <v>2.3954968760000002</v>
      </c>
      <c r="D383">
        <v>1.8278682660000001</v>
      </c>
      <c r="E383">
        <v>0.83353980999999999</v>
      </c>
      <c r="F383">
        <v>0.602519158</v>
      </c>
      <c r="G383">
        <v>0.40372877299999999</v>
      </c>
      <c r="H383">
        <v>0.31416140399999998</v>
      </c>
      <c r="I383">
        <v>0.26436078299999999</v>
      </c>
      <c r="L383">
        <v>5.35059134034219E-4</v>
      </c>
      <c r="M383">
        <f t="shared" si="3"/>
        <v>2.7823074969779387</v>
      </c>
    </row>
    <row r="384" spans="1:13">
      <c r="A384" t="s">
        <v>382</v>
      </c>
      <c r="B384">
        <v>2.2724904970000002</v>
      </c>
      <c r="C384">
        <v>2.145666195</v>
      </c>
      <c r="D384">
        <v>1.4405959290000001</v>
      </c>
      <c r="E384">
        <v>0.95721253299999998</v>
      </c>
      <c r="F384">
        <v>0.53260750800000001</v>
      </c>
      <c r="G384">
        <v>0.36490107799999999</v>
      </c>
      <c r="H384">
        <v>0.27555303399999997</v>
      </c>
      <c r="I384">
        <v>0.215316644</v>
      </c>
      <c r="L384">
        <v>4.49169923851936E-4</v>
      </c>
      <c r="M384">
        <f t="shared" si="3"/>
        <v>2.3356836040300673</v>
      </c>
    </row>
    <row r="385" spans="1:13">
      <c r="A385" t="s">
        <v>383</v>
      </c>
      <c r="B385">
        <v>2.3514170839999999</v>
      </c>
      <c r="C385">
        <v>2.067324433</v>
      </c>
      <c r="D385">
        <v>1.674342226</v>
      </c>
      <c r="E385">
        <v>1.018818778</v>
      </c>
      <c r="F385">
        <v>0.50203711500000003</v>
      </c>
      <c r="G385">
        <v>0.35491988699999999</v>
      </c>
      <c r="H385">
        <v>0.27596937399999999</v>
      </c>
      <c r="I385">
        <v>0.22626030899999999</v>
      </c>
      <c r="L385">
        <v>4.6448271097927898E-4</v>
      </c>
      <c r="M385">
        <f t="shared" si="3"/>
        <v>2.4153100970922505</v>
      </c>
    </row>
    <row r="386" spans="1:13">
      <c r="A386" t="s">
        <v>384</v>
      </c>
      <c r="B386">
        <v>2.0359479569999999</v>
      </c>
      <c r="C386">
        <v>1.723461557</v>
      </c>
      <c r="D386">
        <v>1.1318354319999999</v>
      </c>
      <c r="E386">
        <v>0.51648751299999995</v>
      </c>
      <c r="F386">
        <v>0.41478167900000001</v>
      </c>
      <c r="G386">
        <v>0.27505792600000001</v>
      </c>
      <c r="H386">
        <v>0.19464113599999999</v>
      </c>
      <c r="I386">
        <v>0.16513070399999999</v>
      </c>
      <c r="L386">
        <v>4.0308951041703403E-4</v>
      </c>
      <c r="M386">
        <f t="shared" si="3"/>
        <v>2.0960654541685768</v>
      </c>
    </row>
    <row r="387" spans="1:13">
      <c r="A387" t="s">
        <v>385</v>
      </c>
      <c r="B387">
        <v>2.0515309529999999</v>
      </c>
      <c r="C387">
        <v>1.6918100789999999</v>
      </c>
      <c r="D387">
        <v>1.2249101630000001</v>
      </c>
      <c r="E387">
        <v>0.83579016900000003</v>
      </c>
      <c r="F387">
        <v>0.39759768699999998</v>
      </c>
      <c r="G387">
        <v>0.27005200000000001</v>
      </c>
      <c r="H387">
        <v>0.20091904999999999</v>
      </c>
      <c r="I387">
        <v>0.16136003800000001</v>
      </c>
      <c r="L387">
        <v>4.0608638130709397E-4</v>
      </c>
      <c r="M387">
        <f t="shared" si="3"/>
        <v>2.1116491827968886</v>
      </c>
    </row>
    <row r="388" spans="1:13">
      <c r="A388" t="s">
        <v>386</v>
      </c>
      <c r="B388">
        <v>2.0989140580000001</v>
      </c>
      <c r="C388">
        <v>1.582440898</v>
      </c>
      <c r="D388">
        <v>1.178237599</v>
      </c>
      <c r="E388">
        <v>0.62280981499999999</v>
      </c>
      <c r="F388">
        <v>0.38275804499999999</v>
      </c>
      <c r="G388">
        <v>0.25393312000000001</v>
      </c>
      <c r="H388">
        <v>0.18417961199999999</v>
      </c>
      <c r="I388">
        <v>0.15480912399999999</v>
      </c>
      <c r="L388">
        <v>4.15266857203307E-4</v>
      </c>
      <c r="M388">
        <f t="shared" si="3"/>
        <v>2.1593876574571964</v>
      </c>
    </row>
    <row r="389" spans="1:13">
      <c r="A389" t="s">
        <v>387</v>
      </c>
      <c r="B389">
        <v>2.0042532569999998</v>
      </c>
      <c r="C389">
        <v>1.504272947</v>
      </c>
      <c r="D389">
        <v>1.101130696</v>
      </c>
      <c r="E389">
        <v>0.623000357</v>
      </c>
      <c r="F389">
        <v>0.333782686</v>
      </c>
      <c r="G389">
        <v>0.225303592</v>
      </c>
      <c r="H389">
        <v>0.16575928200000001</v>
      </c>
      <c r="I389">
        <v>0.13622026000000001</v>
      </c>
      <c r="L389">
        <v>3.9682779593013499E-4</v>
      </c>
      <c r="M389">
        <f t="shared" si="3"/>
        <v>2.0635045388367019</v>
      </c>
    </row>
    <row r="390" spans="1:13">
      <c r="A390" t="s">
        <v>388</v>
      </c>
      <c r="B390">
        <v>1.7834711110000001</v>
      </c>
      <c r="C390">
        <v>1.394534172</v>
      </c>
      <c r="D390">
        <v>0.97711352500000004</v>
      </c>
      <c r="E390">
        <v>0.53185750700000001</v>
      </c>
      <c r="F390">
        <v>0.326125834</v>
      </c>
      <c r="G390">
        <v>0.21704510399999999</v>
      </c>
      <c r="H390">
        <v>0.16744526900000001</v>
      </c>
      <c r="I390">
        <v>0.14813378799999999</v>
      </c>
      <c r="L390">
        <v>3.5387154531925803E-4</v>
      </c>
      <c r="M390">
        <f t="shared" si="3"/>
        <v>1.8401320356601418</v>
      </c>
    </row>
    <row r="391" spans="1:13">
      <c r="A391" t="s">
        <v>389</v>
      </c>
      <c r="B391">
        <v>1.8149152550000001</v>
      </c>
      <c r="C391">
        <v>1.410305623</v>
      </c>
      <c r="D391">
        <v>1.070163704</v>
      </c>
      <c r="E391">
        <v>0.607782445</v>
      </c>
      <c r="F391">
        <v>0.29486514200000002</v>
      </c>
      <c r="G391">
        <v>0.186491032</v>
      </c>
      <c r="H391">
        <v>0.13725024299999999</v>
      </c>
      <c r="I391">
        <v>9.6971346E-2</v>
      </c>
      <c r="L391">
        <v>3.5995674226057601E-4</v>
      </c>
      <c r="M391">
        <f t="shared" si="3"/>
        <v>1.8717750597549951</v>
      </c>
    </row>
    <row r="392" spans="1:13">
      <c r="A392" t="s">
        <v>390</v>
      </c>
      <c r="B392">
        <v>1.6886109380000001</v>
      </c>
      <c r="C392">
        <v>1.284949667</v>
      </c>
      <c r="D392">
        <v>0.91516907000000003</v>
      </c>
      <c r="E392">
        <v>0.44065016600000001</v>
      </c>
      <c r="F392">
        <v>0.26927127000000001</v>
      </c>
      <c r="G392">
        <v>0.18005010699999999</v>
      </c>
      <c r="H392">
        <v>0.14042544800000001</v>
      </c>
      <c r="I392">
        <v>0.11021141700000001</v>
      </c>
      <c r="L392">
        <v>3.3537659301987498E-4</v>
      </c>
      <c r="M392">
        <f t="shared" si="3"/>
        <v>1.7439582837033498</v>
      </c>
    </row>
    <row r="393" spans="1:13">
      <c r="A393" t="s">
        <v>391</v>
      </c>
      <c r="B393">
        <v>1.751739019</v>
      </c>
      <c r="C393">
        <v>1.394861924</v>
      </c>
      <c r="D393">
        <v>1.0084200240000001</v>
      </c>
      <c r="E393">
        <v>0.57751978699999995</v>
      </c>
      <c r="F393">
        <v>0.27614238899999999</v>
      </c>
      <c r="G393">
        <v>0.18777798300000001</v>
      </c>
      <c r="H393">
        <v>0.13827679200000001</v>
      </c>
      <c r="I393">
        <v>0.119007718</v>
      </c>
      <c r="L393">
        <v>3.4762163400657001E-4</v>
      </c>
      <c r="M393">
        <f t="shared" si="3"/>
        <v>1.8076324968341639</v>
      </c>
    </row>
    <row r="394" spans="1:13">
      <c r="A394" t="s">
        <v>392</v>
      </c>
      <c r="B394">
        <v>1.9096864689999999</v>
      </c>
      <c r="C394">
        <v>1.488774789</v>
      </c>
      <c r="D394">
        <v>1.0547028730000001</v>
      </c>
      <c r="E394">
        <v>0.56211941200000004</v>
      </c>
      <c r="F394">
        <v>0.29607576800000002</v>
      </c>
      <c r="G394">
        <v>0.19747008899999999</v>
      </c>
      <c r="H394">
        <v>0.147980417</v>
      </c>
      <c r="I394">
        <v>0.107580632</v>
      </c>
      <c r="L394">
        <v>3.7829434831297898E-4</v>
      </c>
      <c r="M394">
        <f t="shared" si="3"/>
        <v>1.9671306112274907</v>
      </c>
    </row>
    <row r="395" spans="1:13">
      <c r="A395" t="s">
        <v>393</v>
      </c>
      <c r="B395">
        <v>2.0200495759999999</v>
      </c>
      <c r="C395">
        <v>1.5982779709999999</v>
      </c>
      <c r="D395">
        <v>1.132185786</v>
      </c>
      <c r="E395">
        <v>0.63831647400000002</v>
      </c>
      <c r="F395">
        <v>0.333795909</v>
      </c>
      <c r="G395">
        <v>0.23546234899999999</v>
      </c>
      <c r="H395">
        <v>0.165550684</v>
      </c>
      <c r="I395">
        <v>0.125499633</v>
      </c>
      <c r="L395">
        <v>3.99715007175624E-4</v>
      </c>
      <c r="M395">
        <f t="shared" si="3"/>
        <v>2.0785180373132448</v>
      </c>
    </row>
    <row r="396" spans="1:13">
      <c r="A396" t="s">
        <v>394</v>
      </c>
      <c r="B396">
        <v>2.0674359949999999</v>
      </c>
      <c r="C396">
        <v>1.629629233</v>
      </c>
      <c r="D396">
        <v>1.178785677</v>
      </c>
      <c r="E396">
        <v>0.65364116999999999</v>
      </c>
      <c r="F396">
        <v>0.30408524300000001</v>
      </c>
      <c r="G396">
        <v>0.19601732299999999</v>
      </c>
      <c r="H396">
        <v>0.13663476099999999</v>
      </c>
      <c r="I396">
        <v>0.107151333</v>
      </c>
      <c r="L396">
        <v>4.0889451659413399E-4</v>
      </c>
      <c r="M396">
        <f t="shared" si="3"/>
        <v>2.1262514862894966</v>
      </c>
    </row>
    <row r="397" spans="1:13">
      <c r="A397" t="s">
        <v>395</v>
      </c>
      <c r="B397">
        <v>1.8309544959999999</v>
      </c>
      <c r="C397">
        <v>1.441933441</v>
      </c>
      <c r="D397">
        <v>1.101372566</v>
      </c>
      <c r="E397">
        <v>0.60796159900000002</v>
      </c>
      <c r="F397">
        <v>0.27563607200000001</v>
      </c>
      <c r="G397">
        <v>0.187521203</v>
      </c>
      <c r="H397">
        <v>0.13818836700000001</v>
      </c>
      <c r="I397">
        <v>0.108453618</v>
      </c>
      <c r="L397">
        <v>3.6291248460794498E-4</v>
      </c>
      <c r="M397">
        <f t="shared" ref="M397:M406" si="4">L397*5200</f>
        <v>1.8871449199613139</v>
      </c>
    </row>
    <row r="398" spans="1:13">
      <c r="A398" t="s">
        <v>396</v>
      </c>
      <c r="B398">
        <v>1.752116142</v>
      </c>
      <c r="C398">
        <v>1.488790364</v>
      </c>
      <c r="D398">
        <v>1.0546210309999999</v>
      </c>
      <c r="E398">
        <v>0.56255795799999997</v>
      </c>
      <c r="F398">
        <v>0.28656979700000001</v>
      </c>
      <c r="G398">
        <v>0.188051158</v>
      </c>
      <c r="H398">
        <v>0.13861169600000001</v>
      </c>
      <c r="I398">
        <v>0.108800391</v>
      </c>
      <c r="L398">
        <v>3.4756812801753698E-4</v>
      </c>
      <c r="M398">
        <f t="shared" si="4"/>
        <v>1.8073542656911923</v>
      </c>
    </row>
    <row r="399" spans="1:13">
      <c r="A399" t="s">
        <v>397</v>
      </c>
      <c r="B399">
        <v>1.767717424</v>
      </c>
      <c r="C399">
        <v>1.567196952</v>
      </c>
      <c r="D399">
        <v>1.1169171950000001</v>
      </c>
      <c r="E399">
        <v>0.59282997999999998</v>
      </c>
      <c r="F399">
        <v>0.305541169</v>
      </c>
      <c r="G399">
        <v>0.207134656</v>
      </c>
      <c r="H399">
        <v>0.157751751</v>
      </c>
      <c r="I399">
        <v>0.12799501399999999</v>
      </c>
      <c r="L399">
        <v>3.5057498879882503E-4</v>
      </c>
      <c r="M399">
        <f t="shared" si="4"/>
        <v>1.8229899417538902</v>
      </c>
    </row>
    <row r="400" spans="1:13">
      <c r="A400" t="s">
        <v>398</v>
      </c>
      <c r="B400">
        <v>1.4995805710000001</v>
      </c>
      <c r="C400">
        <v>1.363619548</v>
      </c>
      <c r="D400">
        <v>0.97741788399999996</v>
      </c>
      <c r="E400">
        <v>0.53234320199999996</v>
      </c>
      <c r="F400">
        <v>0.29721942000000001</v>
      </c>
      <c r="G400">
        <v>0.208462913</v>
      </c>
      <c r="H400">
        <v>0.15881025300000001</v>
      </c>
      <c r="I400">
        <v>0.128880147</v>
      </c>
      <c r="L400">
        <v>2.9845804706171101E-4</v>
      </c>
      <c r="M400">
        <f t="shared" si="4"/>
        <v>1.5519818447208973</v>
      </c>
    </row>
    <row r="401" spans="1:13">
      <c r="A401" t="s">
        <v>399</v>
      </c>
      <c r="B401">
        <v>1.452365664</v>
      </c>
      <c r="C401">
        <v>1.301231609</v>
      </c>
      <c r="D401">
        <v>0.99327778600000005</v>
      </c>
      <c r="E401">
        <v>0.51735170699999999</v>
      </c>
      <c r="F401">
        <v>0.26838480100000001</v>
      </c>
      <c r="G401">
        <v>0.179707749</v>
      </c>
      <c r="H401">
        <v>0.13007387200000001</v>
      </c>
      <c r="I401">
        <v>0.10014039</v>
      </c>
      <c r="L401">
        <v>2.89265632565357E-4</v>
      </c>
      <c r="M401">
        <f t="shared" si="4"/>
        <v>1.5041812893398565</v>
      </c>
    </row>
    <row r="402" spans="1:13">
      <c r="A402" t="s">
        <v>400</v>
      </c>
      <c r="B402">
        <v>1.483969455</v>
      </c>
      <c r="C402">
        <v>1.2697768819999999</v>
      </c>
      <c r="D402">
        <v>0.96243669600000004</v>
      </c>
      <c r="E402">
        <v>0.42619124899999999</v>
      </c>
      <c r="F402">
        <v>0.260593931</v>
      </c>
      <c r="G402">
        <v>0.17134674599999999</v>
      </c>
      <c r="H402">
        <v>0.121427813</v>
      </c>
      <c r="I402">
        <v>0.101858561</v>
      </c>
      <c r="L402">
        <v>2.9538528227352498E-4</v>
      </c>
      <c r="M402">
        <f t="shared" si="4"/>
        <v>1.53600346782233</v>
      </c>
    </row>
    <row r="403" spans="1:13">
      <c r="A403" t="s">
        <v>401</v>
      </c>
      <c r="B403">
        <v>1.3735025080000001</v>
      </c>
      <c r="C403">
        <v>1.1759980919999999</v>
      </c>
      <c r="D403">
        <v>0.90045745799999999</v>
      </c>
      <c r="E403">
        <v>0.45661989800000002</v>
      </c>
      <c r="F403">
        <v>0.24031586499999999</v>
      </c>
      <c r="G403">
        <v>0.16143300399999999</v>
      </c>
      <c r="H403">
        <v>0.12184719199999999</v>
      </c>
      <c r="I403">
        <v>0.102207058</v>
      </c>
      <c r="L403">
        <v>2.7390894764818199E-4</v>
      </c>
      <c r="M403">
        <f t="shared" si="4"/>
        <v>1.4243265277705464</v>
      </c>
    </row>
    <row r="404" spans="1:13">
      <c r="A404" t="s">
        <v>402</v>
      </c>
      <c r="B404">
        <v>1.452408632</v>
      </c>
      <c r="C404">
        <v>1.238473717</v>
      </c>
      <c r="D404">
        <v>0.93134102699999999</v>
      </c>
      <c r="E404">
        <v>0.48703833299999999</v>
      </c>
      <c r="F404">
        <v>0.249418532</v>
      </c>
      <c r="G404">
        <v>0.17070835300000001</v>
      </c>
      <c r="H404">
        <v>0.120956955</v>
      </c>
      <c r="I404">
        <v>0.10149027400000001</v>
      </c>
      <c r="L404">
        <v>2.8921657259264899E-4</v>
      </c>
      <c r="M404">
        <f t="shared" si="4"/>
        <v>1.5039261774817747</v>
      </c>
    </row>
    <row r="405" spans="1:13">
      <c r="A405" t="s">
        <v>403</v>
      </c>
      <c r="B405">
        <v>1.5312626110000001</v>
      </c>
      <c r="C405">
        <v>1.3325871220000001</v>
      </c>
      <c r="D405">
        <v>0.97797223700000002</v>
      </c>
      <c r="E405">
        <v>0.48703833299999999</v>
      </c>
      <c r="F405">
        <v>0.24951540799999999</v>
      </c>
      <c r="G405">
        <v>0.17081703000000001</v>
      </c>
      <c r="H405">
        <v>0.13134561</v>
      </c>
      <c r="I405">
        <v>0.101242762</v>
      </c>
      <c r="L405">
        <v>3.0451230966561601E-4</v>
      </c>
      <c r="M405">
        <f t="shared" si="4"/>
        <v>1.5834640102612032</v>
      </c>
    </row>
    <row r="406" spans="1:13">
      <c r="A406" t="s">
        <v>404</v>
      </c>
      <c r="B406">
        <v>1.546973063</v>
      </c>
      <c r="C406">
        <v>1.3324835900000001</v>
      </c>
      <c r="D406">
        <v>0.94694983300000002</v>
      </c>
      <c r="E406">
        <v>0.50252395800000005</v>
      </c>
      <c r="F406">
        <v>0.24946290400000001</v>
      </c>
      <c r="G406">
        <v>0.170882325</v>
      </c>
      <c r="H406">
        <v>0.121182611</v>
      </c>
      <c r="I406">
        <v>8.0688203E-2</v>
      </c>
      <c r="L406">
        <v>3.0754389682605501E-4</v>
      </c>
      <c r="M406">
        <f t="shared" si="4"/>
        <v>1.599228263495486</v>
      </c>
    </row>
  </sheetData>
  <phoneticPr fontId="1" type="noConversion"/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06"/>
  <sheetViews>
    <sheetView topLeftCell="A377" workbookViewId="0">
      <selection activeCell="B268" activeCellId="1" sqref="M269:M406 B268:B406"/>
    </sheetView>
  </sheetViews>
  <sheetFormatPr defaultRowHeight="15"/>
  <cols>
    <col min="1" max="1" width="13.5703125" customWidth="1"/>
  </cols>
  <sheetData>
    <row r="1" spans="1:12">
      <c r="B1" t="s">
        <v>405</v>
      </c>
      <c r="L1" t="s">
        <v>499</v>
      </c>
    </row>
    <row r="2" spans="1:12">
      <c r="A2" t="s">
        <v>0</v>
      </c>
      <c r="B2">
        <v>8.3333000000000004E-2</v>
      </c>
      <c r="C2">
        <v>0.25</v>
      </c>
      <c r="D2">
        <v>0.5</v>
      </c>
      <c r="E2">
        <v>1</v>
      </c>
      <c r="F2">
        <v>2</v>
      </c>
      <c r="G2">
        <v>3</v>
      </c>
      <c r="H2">
        <v>4</v>
      </c>
      <c r="I2">
        <v>5</v>
      </c>
    </row>
    <row r="3" spans="1:12">
      <c r="A3" t="s">
        <v>1</v>
      </c>
      <c r="B3">
        <v>4.5223849679999999</v>
      </c>
      <c r="C3">
        <v>3.517548686</v>
      </c>
      <c r="D3">
        <v>3.0083313390000002</v>
      </c>
      <c r="E3">
        <v>2.69113259</v>
      </c>
      <c r="F3">
        <v>3.041434631</v>
      </c>
      <c r="G3">
        <v>3.3413718440000002</v>
      </c>
      <c r="H3">
        <v>3.4766974899999998</v>
      </c>
      <c r="I3">
        <v>3.498727524</v>
      </c>
    </row>
    <row r="4" spans="1:12">
      <c r="A4" t="s">
        <v>2</v>
      </c>
      <c r="B4">
        <v>4.3965322469999997</v>
      </c>
      <c r="C4">
        <v>3.2082459349999999</v>
      </c>
      <c r="D4">
        <v>3.063431639</v>
      </c>
      <c r="E4">
        <v>2.7976534929999999</v>
      </c>
      <c r="F4">
        <v>3.0106849929999999</v>
      </c>
      <c r="G4">
        <v>3.313569626</v>
      </c>
      <c r="H4">
        <v>3.4716653220000002</v>
      </c>
      <c r="I4">
        <v>3.4719385620000001</v>
      </c>
    </row>
    <row r="5" spans="1:12">
      <c r="A5" t="s">
        <v>3</v>
      </c>
      <c r="B5">
        <v>3.0768472</v>
      </c>
      <c r="C5">
        <v>2.77614918</v>
      </c>
      <c r="D5">
        <v>2.6441383539999999</v>
      </c>
      <c r="E5">
        <v>2.5143005820000002</v>
      </c>
      <c r="F5">
        <v>2.91338556</v>
      </c>
      <c r="G5">
        <v>3.2025792599999998</v>
      </c>
      <c r="H5">
        <v>3.4549155539999998</v>
      </c>
      <c r="I5">
        <v>3.4569662440000002</v>
      </c>
    </row>
    <row r="6" spans="1:12">
      <c r="A6" t="s">
        <v>4</v>
      </c>
      <c r="B6">
        <v>3.515936323</v>
      </c>
      <c r="C6">
        <v>3.0838991010000001</v>
      </c>
      <c r="D6">
        <v>2.823154213</v>
      </c>
      <c r="E6">
        <v>2.5707154069999998</v>
      </c>
      <c r="F6">
        <v>2.976583947</v>
      </c>
      <c r="G6">
        <v>3.230358565</v>
      </c>
      <c r="H6">
        <v>3.4779775019999999</v>
      </c>
      <c r="I6">
        <v>3.4749789550000001</v>
      </c>
    </row>
    <row r="7" spans="1:12">
      <c r="A7" t="s">
        <v>5</v>
      </c>
      <c r="B7">
        <v>3.5155687289999999</v>
      </c>
      <c r="C7">
        <v>3.2666677059999998</v>
      </c>
      <c r="D7">
        <v>3.1202208169999999</v>
      </c>
      <c r="E7">
        <v>2.6819183459999998</v>
      </c>
      <c r="F7">
        <v>3.091034075</v>
      </c>
      <c r="G7">
        <v>3.2944374829999998</v>
      </c>
      <c r="H7">
        <v>3.5381870599999998</v>
      </c>
      <c r="I7">
        <v>3.5417469380000002</v>
      </c>
    </row>
    <row r="8" spans="1:12">
      <c r="A8" t="s">
        <v>6</v>
      </c>
      <c r="B8">
        <v>2.4487894649999999</v>
      </c>
      <c r="C8">
        <v>2.5285979109999999</v>
      </c>
      <c r="D8">
        <v>2.5821039109999999</v>
      </c>
      <c r="E8">
        <v>2.736644911</v>
      </c>
      <c r="F8">
        <v>2.9860716300000001</v>
      </c>
      <c r="G8">
        <v>3.0967954290000002</v>
      </c>
      <c r="H8">
        <v>3.3668498310000001</v>
      </c>
      <c r="I8">
        <v>3.366572702</v>
      </c>
    </row>
    <row r="9" spans="1:12">
      <c r="A9" t="s">
        <v>7</v>
      </c>
      <c r="B9">
        <v>2.7007957029999998</v>
      </c>
      <c r="C9">
        <v>2.715084364</v>
      </c>
      <c r="D9">
        <v>2.9424091130000001</v>
      </c>
      <c r="E9">
        <v>2.736644911</v>
      </c>
      <c r="F9">
        <v>2.9956919759999998</v>
      </c>
      <c r="G9">
        <v>3.0712261440000002</v>
      </c>
      <c r="H9">
        <v>3.3525302909999999</v>
      </c>
      <c r="I9">
        <v>3.3524050179999998</v>
      </c>
    </row>
    <row r="10" spans="1:12">
      <c r="A10" t="s">
        <v>8</v>
      </c>
      <c r="B10">
        <v>3.0778125279999999</v>
      </c>
      <c r="C10">
        <v>2.529378216</v>
      </c>
      <c r="D10">
        <v>2.5813285719999999</v>
      </c>
      <c r="E10">
        <v>2.4508482049999998</v>
      </c>
      <c r="F10">
        <v>2.94896256</v>
      </c>
      <c r="G10">
        <v>3.1554342129999999</v>
      </c>
      <c r="H10">
        <v>3.382653286</v>
      </c>
      <c r="I10">
        <v>3.3983940129999999</v>
      </c>
    </row>
    <row r="11" spans="1:12">
      <c r="A11" t="s">
        <v>9</v>
      </c>
      <c r="B11">
        <v>3.4530618780000002</v>
      </c>
      <c r="C11">
        <v>3.0810478899999998</v>
      </c>
      <c r="D11">
        <v>2.8784685360000002</v>
      </c>
      <c r="E11">
        <v>2.7881007759999998</v>
      </c>
      <c r="F11">
        <v>3.0529662929999999</v>
      </c>
      <c r="G11">
        <v>3.2534427030000002</v>
      </c>
      <c r="H11">
        <v>3.5205600370000001</v>
      </c>
      <c r="I11">
        <v>3.5641231439999999</v>
      </c>
    </row>
    <row r="12" spans="1:12">
      <c r="A12" t="s">
        <v>10</v>
      </c>
      <c r="B12">
        <v>3.5174080970000001</v>
      </c>
      <c r="C12">
        <v>2.9609986679999998</v>
      </c>
      <c r="D12">
        <v>2.823154213</v>
      </c>
      <c r="E12">
        <v>2.7944622940000001</v>
      </c>
      <c r="F12">
        <v>3.134783745</v>
      </c>
      <c r="G12">
        <v>3.3189095210000001</v>
      </c>
      <c r="H12">
        <v>3.5384034170000001</v>
      </c>
      <c r="I12">
        <v>3.5606608249999998</v>
      </c>
    </row>
    <row r="13" spans="1:12">
      <c r="A13" t="s">
        <v>11</v>
      </c>
      <c r="B13">
        <v>3.4545075380000001</v>
      </c>
      <c r="C13">
        <v>3.2087406789999999</v>
      </c>
      <c r="D13">
        <v>2.8836567419999999</v>
      </c>
      <c r="E13">
        <v>2.7944622940000001</v>
      </c>
      <c r="F13">
        <v>3.1132020470000001</v>
      </c>
      <c r="G13">
        <v>3.3086827890000001</v>
      </c>
      <c r="H13">
        <v>3.5596118699999999</v>
      </c>
      <c r="I13">
        <v>3.5758560410000002</v>
      </c>
    </row>
    <row r="14" spans="1:12">
      <c r="A14" t="s">
        <v>12</v>
      </c>
      <c r="B14">
        <v>3.5170410049999998</v>
      </c>
      <c r="C14">
        <v>3.1467909870000002</v>
      </c>
      <c r="D14">
        <v>2.9459464980000001</v>
      </c>
      <c r="E14">
        <v>2.80085199</v>
      </c>
      <c r="F14">
        <v>3.3222885089999998</v>
      </c>
      <c r="G14">
        <v>3.4681749380000002</v>
      </c>
      <c r="H14">
        <v>3.7700109519999998</v>
      </c>
      <c r="I14">
        <v>3.7734712359999998</v>
      </c>
    </row>
    <row r="15" spans="1:12">
      <c r="A15" t="s">
        <v>13</v>
      </c>
      <c r="B15">
        <v>3.4541464049999999</v>
      </c>
      <c r="C15">
        <v>3.1467909870000002</v>
      </c>
      <c r="D15">
        <v>3.0065226109999998</v>
      </c>
      <c r="E15">
        <v>2.80085199</v>
      </c>
      <c r="F15">
        <v>3.2753938090000001</v>
      </c>
      <c r="G15">
        <v>3.4573562839999998</v>
      </c>
      <c r="H15">
        <v>3.7592164210000001</v>
      </c>
      <c r="I15">
        <v>3.7625948</v>
      </c>
    </row>
    <row r="16" spans="1:12">
      <c r="A16" t="s">
        <v>14</v>
      </c>
      <c r="B16">
        <v>3.391609034</v>
      </c>
      <c r="C16">
        <v>3.0858024180000001</v>
      </c>
      <c r="D16">
        <v>3.0074267020000001</v>
      </c>
      <c r="E16">
        <v>2.8621101430000002</v>
      </c>
      <c r="F16">
        <v>3.319770595</v>
      </c>
      <c r="G16">
        <v>3.5570969529999998</v>
      </c>
      <c r="H16">
        <v>3.7269765690000001</v>
      </c>
      <c r="I16">
        <v>3.7271955829999999</v>
      </c>
    </row>
    <row r="17" spans="1:9">
      <c r="A17" t="s">
        <v>15</v>
      </c>
      <c r="B17">
        <v>3.5795640529999999</v>
      </c>
      <c r="C17">
        <v>3.2087406789999999</v>
      </c>
      <c r="D17">
        <v>3.0671162330000001</v>
      </c>
      <c r="E17">
        <v>2.9185249679999998</v>
      </c>
      <c r="F17">
        <v>3.258661026</v>
      </c>
      <c r="G17">
        <v>3.5332215229999999</v>
      </c>
      <c r="H17">
        <v>3.6440494069999998</v>
      </c>
      <c r="I17">
        <v>3.635330422</v>
      </c>
    </row>
    <row r="18" spans="1:9">
      <c r="A18" t="s">
        <v>16</v>
      </c>
      <c r="B18">
        <v>3.2658228419999999</v>
      </c>
      <c r="C18">
        <v>3.0858024180000001</v>
      </c>
      <c r="D18">
        <v>2.9468330790000001</v>
      </c>
      <c r="E18">
        <v>2.8604726349999998</v>
      </c>
      <c r="F18">
        <v>3.2855904159999998</v>
      </c>
      <c r="G18">
        <v>3.5541595199999998</v>
      </c>
      <c r="H18">
        <v>3.6539700640000001</v>
      </c>
      <c r="I18">
        <v>3.66207262</v>
      </c>
    </row>
    <row r="19" spans="1:9">
      <c r="A19" t="s">
        <v>17</v>
      </c>
      <c r="B19">
        <v>3.3287144340000001</v>
      </c>
      <c r="C19">
        <v>3.0238527259999999</v>
      </c>
      <c r="D19">
        <v>2.8871256590000001</v>
      </c>
      <c r="E19">
        <v>2.8604726349999998</v>
      </c>
      <c r="F19">
        <v>3.204745033</v>
      </c>
      <c r="G19">
        <v>3.4845322680000002</v>
      </c>
      <c r="H19">
        <v>3.6067810919999999</v>
      </c>
      <c r="I19">
        <v>3.637361072</v>
      </c>
    </row>
    <row r="20" spans="1:9">
      <c r="A20" t="s">
        <v>18</v>
      </c>
      <c r="B20">
        <v>2.450072016</v>
      </c>
      <c r="C20">
        <v>2.4690182310000002</v>
      </c>
      <c r="D20">
        <v>2.4664455730000001</v>
      </c>
      <c r="E20">
        <v>2.4041246369999998</v>
      </c>
      <c r="F20">
        <v>2.9726763260000002</v>
      </c>
      <c r="G20">
        <v>3.2680836480000002</v>
      </c>
      <c r="H20">
        <v>3.392169655</v>
      </c>
      <c r="I20">
        <v>3.4149724880000001</v>
      </c>
    </row>
    <row r="21" spans="1:9">
      <c r="A21" t="s">
        <v>19</v>
      </c>
      <c r="B21">
        <v>2.3243058689999998</v>
      </c>
      <c r="C21">
        <v>2.2847228390000001</v>
      </c>
      <c r="D21">
        <v>2.1073966049999999</v>
      </c>
      <c r="E21">
        <v>2.0062783579999999</v>
      </c>
      <c r="F21">
        <v>2.6882399330000002</v>
      </c>
      <c r="G21">
        <v>2.9671908739999999</v>
      </c>
      <c r="H21">
        <v>3.288464678</v>
      </c>
      <c r="I21">
        <v>3.3219200600000001</v>
      </c>
    </row>
    <row r="22" spans="1:9">
      <c r="A22" t="s">
        <v>20</v>
      </c>
      <c r="B22">
        <v>2.7009370449999999</v>
      </c>
      <c r="C22">
        <v>2.345929124</v>
      </c>
      <c r="D22">
        <v>2.1061280870000001</v>
      </c>
      <c r="E22">
        <v>2.1185022509999998</v>
      </c>
      <c r="F22">
        <v>2.7844796239999998</v>
      </c>
      <c r="G22">
        <v>3.0384185960000001</v>
      </c>
      <c r="H22">
        <v>3.4289811600000002</v>
      </c>
      <c r="I22">
        <v>3.4380297519999998</v>
      </c>
    </row>
    <row r="23" spans="1:9">
      <c r="A23" t="s">
        <v>21</v>
      </c>
      <c r="B23">
        <v>2.5758521719999998</v>
      </c>
      <c r="C23">
        <v>2.408593851</v>
      </c>
      <c r="D23">
        <v>2.2876899119999998</v>
      </c>
      <c r="E23">
        <v>2.1776338200000001</v>
      </c>
      <c r="F23">
        <v>2.7545776919999998</v>
      </c>
      <c r="G23">
        <v>2.9746517039999998</v>
      </c>
      <c r="H23">
        <v>3.3555211690000002</v>
      </c>
      <c r="I23">
        <v>3.4631491419999998</v>
      </c>
    </row>
    <row r="24" spans="1:9">
      <c r="A24" t="s">
        <v>22</v>
      </c>
      <c r="B24">
        <v>2.5129605800000001</v>
      </c>
      <c r="C24">
        <v>2.3466533100000002</v>
      </c>
      <c r="D24">
        <v>2.166630617</v>
      </c>
      <c r="E24">
        <v>2.1763865679999999</v>
      </c>
      <c r="F24">
        <v>2.8485521249999999</v>
      </c>
      <c r="G24">
        <v>3.122491991</v>
      </c>
      <c r="H24">
        <v>3.4095953300000001</v>
      </c>
      <c r="I24">
        <v>3.5079301209999998</v>
      </c>
    </row>
    <row r="25" spans="1:9">
      <c r="A25" t="s">
        <v>23</v>
      </c>
      <c r="B25">
        <v>2.7013616790000001</v>
      </c>
      <c r="C25">
        <v>2.3466533100000002</v>
      </c>
      <c r="D25">
        <v>2.166630617</v>
      </c>
      <c r="E25">
        <v>2.146871092</v>
      </c>
      <c r="F25">
        <v>2.8441743860000002</v>
      </c>
      <c r="G25">
        <v>3.0722705979999998</v>
      </c>
      <c r="H25">
        <v>3.3124634730000002</v>
      </c>
      <c r="I25">
        <v>3.3947785170000002</v>
      </c>
    </row>
    <row r="26" spans="1:9">
      <c r="A26" t="s">
        <v>24</v>
      </c>
      <c r="B26">
        <v>2.6387467720000002</v>
      </c>
      <c r="C26">
        <v>2.408593851</v>
      </c>
      <c r="D26">
        <v>2.2876899119999998</v>
      </c>
      <c r="E26">
        <v>2.0630132529999998</v>
      </c>
      <c r="F26">
        <v>2.97005907</v>
      </c>
      <c r="G26">
        <v>3.154557659</v>
      </c>
      <c r="H26">
        <v>3.3941857780000002</v>
      </c>
      <c r="I26">
        <v>3.4417166610000001</v>
      </c>
    </row>
    <row r="27" spans="1:9">
      <c r="A27" t="s">
        <v>25</v>
      </c>
      <c r="B27">
        <v>2.0736809260000002</v>
      </c>
      <c r="C27">
        <v>2.0389832989999999</v>
      </c>
      <c r="D27">
        <v>1.9282108309999999</v>
      </c>
      <c r="E27">
        <v>2.120931095</v>
      </c>
      <c r="F27">
        <v>2.824817956</v>
      </c>
      <c r="G27">
        <v>3.0179124759999998</v>
      </c>
      <c r="H27">
        <v>3.2496264149999998</v>
      </c>
      <c r="I27">
        <v>3.3544517979999999</v>
      </c>
    </row>
    <row r="28" spans="1:9">
      <c r="A28" t="s">
        <v>26</v>
      </c>
      <c r="B28">
        <v>1.9481046550000001</v>
      </c>
      <c r="C28">
        <v>1.792386472</v>
      </c>
      <c r="D28">
        <v>1.8082413829999999</v>
      </c>
      <c r="E28">
        <v>2.0653805059999999</v>
      </c>
      <c r="F28">
        <v>2.5729997500000001</v>
      </c>
      <c r="G28">
        <v>2.769629444</v>
      </c>
      <c r="H28">
        <v>3.0355033869999999</v>
      </c>
      <c r="I28">
        <v>3.106162136</v>
      </c>
    </row>
    <row r="29" spans="1:9">
      <c r="A29" t="s">
        <v>27</v>
      </c>
      <c r="B29">
        <v>2.0738977589999998</v>
      </c>
      <c r="C29">
        <v>2.0396134539999999</v>
      </c>
      <c r="D29">
        <v>1.9899679050000001</v>
      </c>
      <c r="E29">
        <v>2.2098174340000001</v>
      </c>
      <c r="F29">
        <v>2.7147409759999999</v>
      </c>
      <c r="G29">
        <v>2.8966754130000001</v>
      </c>
      <c r="H29">
        <v>3.094407924</v>
      </c>
      <c r="I29">
        <v>3.1893475769999999</v>
      </c>
    </row>
    <row r="30" spans="1:9">
      <c r="A30" t="s">
        <v>28</v>
      </c>
      <c r="B30">
        <v>2.1365755260000001</v>
      </c>
      <c r="C30">
        <v>1.977653704</v>
      </c>
      <c r="D30">
        <v>2.049343731</v>
      </c>
      <c r="E30">
        <v>2.1233655150000001</v>
      </c>
      <c r="F30">
        <v>2.6433060780000002</v>
      </c>
      <c r="G30">
        <v>2.855400725</v>
      </c>
      <c r="H30">
        <v>3.0568894050000002</v>
      </c>
      <c r="I30">
        <v>3.1291684869999998</v>
      </c>
    </row>
    <row r="31" spans="1:9">
      <c r="A31" t="s">
        <v>29</v>
      </c>
      <c r="B31">
        <v>2.3247925399999998</v>
      </c>
      <c r="C31">
        <v>2.2241748700000001</v>
      </c>
      <c r="D31">
        <v>2.1086657639999999</v>
      </c>
      <c r="E31">
        <v>2.2368675119999999</v>
      </c>
      <c r="F31">
        <v>2.6120514529999999</v>
      </c>
      <c r="G31">
        <v>2.8865590509999999</v>
      </c>
      <c r="H31">
        <v>3.0827827750000001</v>
      </c>
      <c r="I31">
        <v>3.1884783649999999</v>
      </c>
    </row>
    <row r="32" spans="1:9">
      <c r="A32" t="s">
        <v>30</v>
      </c>
      <c r="B32">
        <v>2.2621373089999999</v>
      </c>
      <c r="C32">
        <v>2.10093299</v>
      </c>
      <c r="D32">
        <v>2.049343731</v>
      </c>
      <c r="E32">
        <v>2.2507886259999998</v>
      </c>
      <c r="F32">
        <v>2.7294591989999999</v>
      </c>
      <c r="G32">
        <v>3.0068297849999999</v>
      </c>
      <c r="H32">
        <v>3.2391211960000001</v>
      </c>
      <c r="I32">
        <v>3.3089417320000001</v>
      </c>
    </row>
    <row r="33" spans="1:9">
      <c r="A33" t="s">
        <v>31</v>
      </c>
      <c r="B33">
        <v>2.2621373089999999</v>
      </c>
      <c r="C33">
        <v>2.10093299</v>
      </c>
      <c r="D33">
        <v>2.0487257099999998</v>
      </c>
      <c r="E33">
        <v>2.2639701460000001</v>
      </c>
      <c r="F33">
        <v>2.9122366949999998</v>
      </c>
      <c r="G33">
        <v>3.2418112579999998</v>
      </c>
      <c r="H33">
        <v>3.439507919</v>
      </c>
      <c r="I33">
        <v>3.5583416479999999</v>
      </c>
    </row>
    <row r="34" spans="1:9">
      <c r="A34" t="s">
        <v>32</v>
      </c>
      <c r="B34">
        <v>2.199242709</v>
      </c>
      <c r="C34">
        <v>2.0389832989999999</v>
      </c>
      <c r="D34">
        <v>1.9881689229999999</v>
      </c>
      <c r="E34">
        <v>2.2626732509999998</v>
      </c>
      <c r="F34">
        <v>2.967451697</v>
      </c>
      <c r="G34">
        <v>3.2505212719999999</v>
      </c>
      <c r="H34">
        <v>3.5129142899999999</v>
      </c>
      <c r="I34">
        <v>3.6570231849999999</v>
      </c>
    </row>
    <row r="35" spans="1:9">
      <c r="A35" t="s">
        <v>33</v>
      </c>
      <c r="B35">
        <v>2.4503284820000002</v>
      </c>
      <c r="C35">
        <v>2.2234872779999999</v>
      </c>
      <c r="D35">
        <v>2.166630617</v>
      </c>
      <c r="E35">
        <v>2.260083914</v>
      </c>
      <c r="F35">
        <v>2.846282424</v>
      </c>
      <c r="G35">
        <v>3.116673461</v>
      </c>
      <c r="H35">
        <v>3.4454926399999999</v>
      </c>
      <c r="I35">
        <v>3.582862526</v>
      </c>
    </row>
    <row r="36" spans="1:9">
      <c r="A36" t="s">
        <v>34</v>
      </c>
      <c r="B36">
        <v>2.5132230820000001</v>
      </c>
      <c r="C36">
        <v>2.2234872779999999</v>
      </c>
      <c r="D36">
        <v>2.2863135780000001</v>
      </c>
      <c r="E36">
        <v>2.3731687099999998</v>
      </c>
      <c r="F36">
        <v>2.6777897839999998</v>
      </c>
      <c r="G36">
        <v>2.9533597720000002</v>
      </c>
      <c r="H36">
        <v>3.1666082709999999</v>
      </c>
      <c r="I36">
        <v>3.3089729389999998</v>
      </c>
    </row>
    <row r="37" spans="1:9">
      <c r="A37" t="s">
        <v>35</v>
      </c>
      <c r="B37">
        <v>2.325035813</v>
      </c>
      <c r="C37">
        <v>2.162225179</v>
      </c>
      <c r="D37">
        <v>2.2876899119999998</v>
      </c>
      <c r="E37">
        <v>2.346206794</v>
      </c>
      <c r="F37">
        <v>2.7938048470000001</v>
      </c>
      <c r="G37">
        <v>3.0513609719999999</v>
      </c>
      <c r="H37">
        <v>3.2206592989999998</v>
      </c>
      <c r="I37">
        <v>3.3244091689999999</v>
      </c>
    </row>
    <row r="38" spans="1:9">
      <c r="A38" t="s">
        <v>36</v>
      </c>
      <c r="B38">
        <v>2.3247925399999998</v>
      </c>
      <c r="C38">
        <v>2.2241748700000001</v>
      </c>
      <c r="D38">
        <v>2.4671878490000001</v>
      </c>
      <c r="E38">
        <v>2.2857071489999998</v>
      </c>
      <c r="F38">
        <v>2.7130676070000002</v>
      </c>
      <c r="G38">
        <v>3.0062231490000002</v>
      </c>
      <c r="H38">
        <v>3.238745105</v>
      </c>
      <c r="I38">
        <v>3.3404614490000002</v>
      </c>
    </row>
    <row r="39" spans="1:9">
      <c r="A39" t="s">
        <v>37</v>
      </c>
      <c r="B39">
        <v>2.4503284820000002</v>
      </c>
      <c r="C39">
        <v>2.0377242720000002</v>
      </c>
      <c r="D39">
        <v>2.224473991</v>
      </c>
      <c r="E39">
        <v>2.256211001</v>
      </c>
      <c r="F39">
        <v>2.7939628359999999</v>
      </c>
      <c r="G39">
        <v>3.1199616639999999</v>
      </c>
      <c r="H39">
        <v>3.2920979209999999</v>
      </c>
      <c r="I39">
        <v>3.399434603</v>
      </c>
    </row>
    <row r="40" spans="1:9">
      <c r="A40" t="s">
        <v>38</v>
      </c>
      <c r="B40">
        <v>2.3245483259999999</v>
      </c>
      <c r="C40">
        <v>2.0996354990000001</v>
      </c>
      <c r="D40">
        <v>2.2849388849999999</v>
      </c>
      <c r="E40">
        <v>2.2575004970000001</v>
      </c>
      <c r="F40">
        <v>2.7099073539999998</v>
      </c>
      <c r="G40">
        <v>3.0424266919999998</v>
      </c>
      <c r="H40">
        <v>3.2728933919999998</v>
      </c>
      <c r="I40">
        <v>3.3569891040000002</v>
      </c>
    </row>
    <row r="41" spans="1:9">
      <c r="A41" t="s">
        <v>39</v>
      </c>
      <c r="B41">
        <v>2.3243058689999998</v>
      </c>
      <c r="C41">
        <v>2.0989882529999999</v>
      </c>
      <c r="D41">
        <v>2.224473991</v>
      </c>
      <c r="E41">
        <v>2.1997165230000002</v>
      </c>
      <c r="F41">
        <v>2.7269848680000002</v>
      </c>
      <c r="G41">
        <v>3.0383221800000002</v>
      </c>
      <c r="H41">
        <v>3.2840192149999998</v>
      </c>
      <c r="I41">
        <v>3.390084275</v>
      </c>
    </row>
    <row r="42" spans="1:9">
      <c r="A42" t="s">
        <v>40</v>
      </c>
      <c r="B42">
        <v>2.3245483259999999</v>
      </c>
      <c r="C42">
        <v>2.2847228390000001</v>
      </c>
      <c r="D42">
        <v>2.165326887</v>
      </c>
      <c r="E42">
        <v>2.3435245309999999</v>
      </c>
      <c r="F42">
        <v>2.819789246</v>
      </c>
      <c r="G42">
        <v>3.0869237919999999</v>
      </c>
      <c r="H42">
        <v>3.2559719880000002</v>
      </c>
      <c r="I42">
        <v>3.3599815159999999</v>
      </c>
    </row>
    <row r="43" spans="1:9">
      <c r="A43" t="s">
        <v>41</v>
      </c>
      <c r="B43">
        <v>2.3245483259999999</v>
      </c>
      <c r="C43">
        <v>2.2847228390000001</v>
      </c>
      <c r="D43">
        <v>2.2258110489999998</v>
      </c>
      <c r="E43">
        <v>2.3435245309999999</v>
      </c>
      <c r="F43">
        <v>2.744507601</v>
      </c>
      <c r="G43">
        <v>3.0382693490000001</v>
      </c>
      <c r="H43">
        <v>3.2275884449999999</v>
      </c>
      <c r="I43">
        <v>3.3254635019999998</v>
      </c>
    </row>
    <row r="44" spans="1:9">
      <c r="A44" t="s">
        <v>42</v>
      </c>
      <c r="B44">
        <v>2.3245483259999999</v>
      </c>
      <c r="C44">
        <v>2.2847228390000001</v>
      </c>
      <c r="D44">
        <v>2.3461285539999999</v>
      </c>
      <c r="E44">
        <v>2.4296631880000001</v>
      </c>
      <c r="F44">
        <v>2.730953483</v>
      </c>
      <c r="G44">
        <v>3.0115726180000002</v>
      </c>
      <c r="H44">
        <v>3.2762062620000001</v>
      </c>
      <c r="I44">
        <v>3.4006344359999998</v>
      </c>
    </row>
    <row r="45" spans="1:9">
      <c r="A45" t="s">
        <v>43</v>
      </c>
      <c r="B45">
        <v>1.759439894</v>
      </c>
      <c r="C45">
        <v>2.0383541670000001</v>
      </c>
      <c r="D45">
        <v>2.166630617</v>
      </c>
      <c r="E45">
        <v>2.346206794</v>
      </c>
      <c r="F45">
        <v>2.567102217</v>
      </c>
      <c r="G45">
        <v>2.8391766089999999</v>
      </c>
      <c r="H45">
        <v>3.1167401909999999</v>
      </c>
      <c r="I45">
        <v>3.223921877</v>
      </c>
    </row>
    <row r="46" spans="1:9">
      <c r="A46" t="s">
        <v>44</v>
      </c>
      <c r="B46">
        <v>2.0105779479999999</v>
      </c>
      <c r="C46">
        <v>1.9151122869999999</v>
      </c>
      <c r="D46">
        <v>2.0468766089999999</v>
      </c>
      <c r="E46">
        <v>2.1185022509999998</v>
      </c>
      <c r="F46">
        <v>2.5847136499999999</v>
      </c>
      <c r="G46">
        <v>2.8573392580000001</v>
      </c>
      <c r="H46">
        <v>3.099976383</v>
      </c>
      <c r="I46">
        <v>3.2178210059999999</v>
      </c>
    </row>
    <row r="47" spans="1:9">
      <c r="A47" t="s">
        <v>45</v>
      </c>
      <c r="B47">
        <v>2.1361277780000001</v>
      </c>
      <c r="C47">
        <v>2.0383541670000001</v>
      </c>
      <c r="D47">
        <v>1.806607098</v>
      </c>
      <c r="E47">
        <v>2.1751407450000002</v>
      </c>
      <c r="F47">
        <v>2.6949123620000002</v>
      </c>
      <c r="G47">
        <v>2.9664804739999999</v>
      </c>
      <c r="H47">
        <v>3.2087803519999998</v>
      </c>
      <c r="I47">
        <v>3.3207714039999998</v>
      </c>
    </row>
    <row r="48" spans="1:9">
      <c r="A48" t="s">
        <v>46</v>
      </c>
      <c r="B48">
        <v>2.0105779479999999</v>
      </c>
      <c r="C48">
        <v>1.914521632</v>
      </c>
      <c r="D48">
        <v>1.986374079</v>
      </c>
      <c r="E48">
        <v>2.0902165799999999</v>
      </c>
      <c r="F48">
        <v>2.5678023790000002</v>
      </c>
      <c r="G48">
        <v>2.855343714</v>
      </c>
      <c r="H48">
        <v>3.162116938</v>
      </c>
      <c r="I48">
        <v>3.277514617</v>
      </c>
    </row>
    <row r="49" spans="1:9">
      <c r="A49" t="s">
        <v>47</v>
      </c>
      <c r="B49">
        <v>1.9476964059999999</v>
      </c>
      <c r="C49">
        <v>1.8526195809999999</v>
      </c>
      <c r="D49">
        <v>1.986374079</v>
      </c>
      <c r="E49">
        <v>2.0051289360000002</v>
      </c>
      <c r="F49">
        <v>2.4783097559999998</v>
      </c>
      <c r="G49">
        <v>2.7609504660000002</v>
      </c>
      <c r="H49">
        <v>3.1054392210000001</v>
      </c>
      <c r="I49">
        <v>3.2088918569999998</v>
      </c>
    </row>
    <row r="50" spans="1:9">
      <c r="A50" t="s">
        <v>48</v>
      </c>
      <c r="B50">
        <v>1.9476964059999999</v>
      </c>
      <c r="C50">
        <v>1.7912797519999999</v>
      </c>
      <c r="D50">
        <v>1.8665471520000001</v>
      </c>
      <c r="E50">
        <v>1.891626939</v>
      </c>
      <c r="F50">
        <v>2.3337220589999998</v>
      </c>
      <c r="G50">
        <v>2.586871715</v>
      </c>
      <c r="H50">
        <v>2.910977511</v>
      </c>
      <c r="I50">
        <v>2.9996762129999999</v>
      </c>
    </row>
    <row r="51" spans="1:9">
      <c r="A51" t="s">
        <v>49</v>
      </c>
      <c r="B51">
        <v>1.822134623</v>
      </c>
      <c r="C51">
        <v>1.729377701</v>
      </c>
      <c r="D51">
        <v>1.7466490059999999</v>
      </c>
      <c r="E51">
        <v>1.891626939</v>
      </c>
      <c r="F51">
        <v>2.3759483119999998</v>
      </c>
      <c r="G51">
        <v>2.6081282410000002</v>
      </c>
      <c r="H51">
        <v>2.9275562800000001</v>
      </c>
      <c r="I51">
        <v>3.0385063290000001</v>
      </c>
    </row>
    <row r="52" spans="1:9">
      <c r="A52" t="s">
        <v>50</v>
      </c>
      <c r="B52">
        <v>1.6965583529999999</v>
      </c>
      <c r="C52">
        <v>1.5442055450000001</v>
      </c>
      <c r="D52">
        <v>1.5661953959999999</v>
      </c>
      <c r="E52">
        <v>1.6917629759999999</v>
      </c>
      <c r="F52">
        <v>2.2206939860000001</v>
      </c>
      <c r="G52">
        <v>2.497352292</v>
      </c>
      <c r="H52">
        <v>2.8152052900000002</v>
      </c>
      <c r="I52">
        <v>2.9423824230000002</v>
      </c>
    </row>
    <row r="53" spans="1:9">
      <c r="A53" t="s">
        <v>51</v>
      </c>
      <c r="B53">
        <v>1.4453683150000001</v>
      </c>
      <c r="C53">
        <v>1.420888004</v>
      </c>
      <c r="D53">
        <v>1.446152766</v>
      </c>
      <c r="E53">
        <v>1.5201530459999999</v>
      </c>
      <c r="F53">
        <v>2.1681541709999999</v>
      </c>
      <c r="G53">
        <v>2.437831911</v>
      </c>
      <c r="H53">
        <v>2.7118265479999999</v>
      </c>
      <c r="I53">
        <v>2.8509627260000001</v>
      </c>
    </row>
    <row r="54" spans="1:9">
      <c r="A54" t="s">
        <v>52</v>
      </c>
      <c r="B54">
        <v>2.0734625530000002</v>
      </c>
      <c r="C54">
        <v>1.975822221</v>
      </c>
      <c r="D54">
        <v>1.8665471520000001</v>
      </c>
      <c r="E54">
        <v>1.8348275940000001</v>
      </c>
      <c r="F54">
        <v>2.2754617420000001</v>
      </c>
      <c r="G54">
        <v>2.5439776549999999</v>
      </c>
      <c r="H54">
        <v>2.8361305090000002</v>
      </c>
      <c r="I54">
        <v>2.9421923809999999</v>
      </c>
    </row>
    <row r="55" spans="1:9">
      <c r="A55" t="s">
        <v>53</v>
      </c>
      <c r="B55">
        <v>2.5755815229999999</v>
      </c>
      <c r="C55">
        <v>2.0989882529999999</v>
      </c>
      <c r="D55">
        <v>2.0462600809999998</v>
      </c>
      <c r="E55">
        <v>1.920060206</v>
      </c>
      <c r="F55">
        <v>2.446066058</v>
      </c>
      <c r="G55">
        <v>2.67801497</v>
      </c>
      <c r="H55">
        <v>2.8685633419999998</v>
      </c>
      <c r="I55">
        <v>3.0175866309999999</v>
      </c>
    </row>
    <row r="56" spans="1:9">
      <c r="A56" t="s">
        <v>54</v>
      </c>
      <c r="B56">
        <v>3.0146052920000002</v>
      </c>
      <c r="C56">
        <v>2.652354259</v>
      </c>
      <c r="D56">
        <v>2.2849388849999999</v>
      </c>
      <c r="E56">
        <v>2.1172899140000001</v>
      </c>
      <c r="F56">
        <v>2.5137103010000001</v>
      </c>
      <c r="G56">
        <v>2.6677886260000001</v>
      </c>
      <c r="H56">
        <v>2.8995120939999999</v>
      </c>
      <c r="I56">
        <v>3.0091276429999998</v>
      </c>
    </row>
    <row r="57" spans="1:9">
      <c r="A57" t="s">
        <v>55</v>
      </c>
      <c r="B57">
        <v>3.0762024970000001</v>
      </c>
      <c r="C57">
        <v>2.6515361720000001</v>
      </c>
      <c r="D57">
        <v>2.283565871</v>
      </c>
      <c r="E57">
        <v>2.3421856989999998</v>
      </c>
      <c r="F57">
        <v>2.5461707680000001</v>
      </c>
      <c r="G57">
        <v>2.7087665479999998</v>
      </c>
      <c r="H57">
        <v>2.9103519279999999</v>
      </c>
      <c r="I57">
        <v>3.0221461289999998</v>
      </c>
    </row>
    <row r="58" spans="1:9">
      <c r="A58" t="s">
        <v>56</v>
      </c>
      <c r="B58">
        <v>2.699947936</v>
      </c>
      <c r="C58">
        <v>2.5904714879999999</v>
      </c>
      <c r="D58">
        <v>2.4634818780000001</v>
      </c>
      <c r="E58">
        <v>2.4000030809999999</v>
      </c>
      <c r="F58">
        <v>2.529476555</v>
      </c>
      <c r="G58">
        <v>2.6983149700000002</v>
      </c>
      <c r="H58">
        <v>2.8947810409999999</v>
      </c>
      <c r="I58">
        <v>3.007118755</v>
      </c>
    </row>
    <row r="59" spans="1:9">
      <c r="A59" t="s">
        <v>57</v>
      </c>
      <c r="B59">
        <v>3.1390643460000001</v>
      </c>
      <c r="C59">
        <v>2.5904714879999999</v>
      </c>
      <c r="D59">
        <v>2.5828788299999998</v>
      </c>
      <c r="E59">
        <v>2.3986323679999999</v>
      </c>
      <c r="F59">
        <v>2.6191713110000001</v>
      </c>
      <c r="G59">
        <v>2.8167155039999998</v>
      </c>
      <c r="H59">
        <v>2.910343568</v>
      </c>
      <c r="I59">
        <v>3.030655629</v>
      </c>
    </row>
    <row r="60" spans="1:9">
      <c r="A60" t="s">
        <v>58</v>
      </c>
      <c r="B60">
        <v>2.9500253000000001</v>
      </c>
      <c r="C60">
        <v>2.4659743010000001</v>
      </c>
      <c r="D60">
        <v>2.6401726710000002</v>
      </c>
      <c r="E60">
        <v>2.7632310800000002</v>
      </c>
      <c r="F60">
        <v>2.6890133700000001</v>
      </c>
      <c r="G60">
        <v>2.9318701900000002</v>
      </c>
      <c r="H60">
        <v>3.0423845479999998</v>
      </c>
      <c r="I60">
        <v>3.1469217029999998</v>
      </c>
    </row>
    <row r="61" spans="1:9">
      <c r="A61" t="s">
        <v>59</v>
      </c>
      <c r="B61">
        <v>2.699947936</v>
      </c>
      <c r="C61">
        <v>2.6515361720000001</v>
      </c>
      <c r="D61">
        <v>2.6417576970000001</v>
      </c>
      <c r="E61">
        <v>2.5382065279999999</v>
      </c>
      <c r="F61">
        <v>2.6278809189999999</v>
      </c>
      <c r="G61">
        <v>2.8978496859999998</v>
      </c>
      <c r="H61">
        <v>3.0483650629999999</v>
      </c>
      <c r="I61">
        <v>3.1609874570000001</v>
      </c>
    </row>
    <row r="62" spans="1:9">
      <c r="A62" t="s">
        <v>60</v>
      </c>
      <c r="B62">
        <v>2.3864373570000001</v>
      </c>
      <c r="C62">
        <v>2.2826080900000001</v>
      </c>
      <c r="D62">
        <v>2.283565871</v>
      </c>
      <c r="E62">
        <v>2.3421856989999998</v>
      </c>
      <c r="F62">
        <v>2.46219622</v>
      </c>
      <c r="G62">
        <v>2.6216433989999999</v>
      </c>
      <c r="H62">
        <v>2.8167236089999999</v>
      </c>
      <c r="I62">
        <v>2.9295174410000002</v>
      </c>
    </row>
    <row r="63" spans="1:9">
      <c r="A63" t="s">
        <v>61</v>
      </c>
      <c r="B63">
        <v>2.3866871970000001</v>
      </c>
      <c r="C63">
        <v>2.2221158449999998</v>
      </c>
      <c r="D63">
        <v>2.2258110489999998</v>
      </c>
      <c r="E63">
        <v>2.4055016359999999</v>
      </c>
      <c r="F63">
        <v>2.7023126290000001</v>
      </c>
      <c r="G63">
        <v>2.8785568580000001</v>
      </c>
      <c r="H63">
        <v>3.071176726</v>
      </c>
      <c r="I63">
        <v>3.1718656140000001</v>
      </c>
    </row>
    <row r="64" spans="1:9">
      <c r="A64" t="s">
        <v>62</v>
      </c>
      <c r="B64">
        <v>2.1983220559999999</v>
      </c>
      <c r="C64">
        <v>2.284017897</v>
      </c>
      <c r="D64">
        <v>2.4679296609999999</v>
      </c>
      <c r="E64">
        <v>2.3502408269999999</v>
      </c>
      <c r="F64">
        <v>2.7358945920000002</v>
      </c>
      <c r="G64">
        <v>3.0304486069999998</v>
      </c>
      <c r="H64">
        <v>3.183021251</v>
      </c>
      <c r="I64">
        <v>3.2659838319999999</v>
      </c>
    </row>
    <row r="65" spans="1:9">
      <c r="A65" t="s">
        <v>63</v>
      </c>
      <c r="B65">
        <v>2.3235755079999998</v>
      </c>
      <c r="C65">
        <v>2.0364666269999998</v>
      </c>
      <c r="D65">
        <v>2.165326887</v>
      </c>
      <c r="E65">
        <v>2.2343044110000001</v>
      </c>
      <c r="F65">
        <v>2.7219149090000001</v>
      </c>
      <c r="G65">
        <v>3.0000039790000002</v>
      </c>
      <c r="H65">
        <v>3.1835732939999999</v>
      </c>
      <c r="I65">
        <v>3.282164189</v>
      </c>
    </row>
    <row r="66" spans="1:9">
      <c r="A66" t="s">
        <v>64</v>
      </c>
      <c r="B66">
        <v>2.5116449030000001</v>
      </c>
      <c r="C66">
        <v>2.2207446219999998</v>
      </c>
      <c r="D66">
        <v>2.2238047220000001</v>
      </c>
      <c r="E66">
        <v>2.2317480700000001</v>
      </c>
      <c r="F66">
        <v>2.6332910209999998</v>
      </c>
      <c r="G66">
        <v>2.9124939429999999</v>
      </c>
      <c r="H66">
        <v>3.1068519989999999</v>
      </c>
      <c r="I66">
        <v>3.2058015919999998</v>
      </c>
    </row>
    <row r="67" spans="1:9">
      <c r="A67" t="s">
        <v>65</v>
      </c>
      <c r="B67">
        <v>2.3235755079999998</v>
      </c>
      <c r="C67">
        <v>2.2826080900000001</v>
      </c>
      <c r="D67">
        <v>2.224473991</v>
      </c>
      <c r="E67">
        <v>2.2896323870000002</v>
      </c>
      <c r="F67">
        <v>2.5929530230000002</v>
      </c>
      <c r="G67">
        <v>2.9487441329999999</v>
      </c>
      <c r="H67">
        <v>3.1847323049999998</v>
      </c>
      <c r="I67">
        <v>3.2645269780000001</v>
      </c>
    </row>
    <row r="68" spans="1:9">
      <c r="A68" t="s">
        <v>66</v>
      </c>
      <c r="B68">
        <v>2.4490460299999999</v>
      </c>
      <c r="C68">
        <v>2.2826080900000001</v>
      </c>
      <c r="D68">
        <v>2.283565871</v>
      </c>
      <c r="E68">
        <v>2.2317480700000001</v>
      </c>
      <c r="F68">
        <v>2.5903594660000002</v>
      </c>
      <c r="G68">
        <v>2.9302079600000002</v>
      </c>
      <c r="H68">
        <v>3.1290477120000002</v>
      </c>
      <c r="I68">
        <v>3.227087515</v>
      </c>
    </row>
    <row r="69" spans="1:9">
      <c r="A69" t="s">
        <v>67</v>
      </c>
      <c r="B69">
        <v>2.3235755079999998</v>
      </c>
      <c r="C69">
        <v>2.0364666269999998</v>
      </c>
      <c r="D69">
        <v>1.924731572</v>
      </c>
      <c r="E69">
        <v>2.1185022509999998</v>
      </c>
      <c r="F69">
        <v>2.5028322809999999</v>
      </c>
      <c r="G69">
        <v>2.842417282</v>
      </c>
      <c r="H69">
        <v>3.0514091940000001</v>
      </c>
      <c r="I69">
        <v>3.1490708949999999</v>
      </c>
    </row>
    <row r="70" spans="1:9">
      <c r="A70" t="s">
        <v>68</v>
      </c>
      <c r="B70">
        <v>2.3861873770000002</v>
      </c>
      <c r="C70">
        <v>2.0976922670000002</v>
      </c>
      <c r="D70">
        <v>2.1640265310000002</v>
      </c>
      <c r="E70">
        <v>2.173897239</v>
      </c>
      <c r="F70">
        <v>2.4936807189999999</v>
      </c>
      <c r="G70">
        <v>2.8544285679999999</v>
      </c>
      <c r="H70">
        <v>3.0372860579999998</v>
      </c>
      <c r="I70">
        <v>3.1358486559999998</v>
      </c>
    </row>
    <row r="71" spans="1:9">
      <c r="A71" t="s">
        <v>69</v>
      </c>
      <c r="B71">
        <v>2.4490460299999999</v>
      </c>
      <c r="C71">
        <v>2.1595557350000001</v>
      </c>
      <c r="D71">
        <v>2.224473991</v>
      </c>
      <c r="E71">
        <v>2.2317480700000001</v>
      </c>
      <c r="F71">
        <v>2.5565976770000001</v>
      </c>
      <c r="G71">
        <v>2.9317066930000002</v>
      </c>
      <c r="H71">
        <v>3.1192072739999999</v>
      </c>
      <c r="I71">
        <v>3.2168034510000001</v>
      </c>
    </row>
    <row r="72" spans="1:9">
      <c r="A72" t="s">
        <v>70</v>
      </c>
      <c r="B72">
        <v>2.323331939</v>
      </c>
      <c r="C72">
        <v>2.1588903610000001</v>
      </c>
      <c r="D72">
        <v>2.162725945</v>
      </c>
      <c r="E72">
        <v>2.2844017249999999</v>
      </c>
      <c r="F72">
        <v>2.6201511380000002</v>
      </c>
      <c r="G72">
        <v>3.0499518540000001</v>
      </c>
      <c r="H72">
        <v>3.2987289610000001</v>
      </c>
      <c r="I72">
        <v>3.4159506980000001</v>
      </c>
    </row>
    <row r="73" spans="1:9">
      <c r="A73" t="s">
        <v>71</v>
      </c>
      <c r="B73">
        <v>2.2604797350000001</v>
      </c>
      <c r="C73">
        <v>2.2200599969999999</v>
      </c>
      <c r="D73">
        <v>2.1620766840000001</v>
      </c>
      <c r="E73">
        <v>2.1112489640000001</v>
      </c>
      <c r="F73">
        <v>2.6033390320000001</v>
      </c>
      <c r="G73">
        <v>2.9803810080000002</v>
      </c>
      <c r="H73">
        <v>3.2032063480000001</v>
      </c>
      <c r="I73">
        <v>3.342285349</v>
      </c>
    </row>
    <row r="74" spans="1:9">
      <c r="A74" t="s">
        <v>72</v>
      </c>
      <c r="B74">
        <v>2.323331939</v>
      </c>
      <c r="C74">
        <v>2.2819041379999998</v>
      </c>
      <c r="D74">
        <v>2.2821944919999999</v>
      </c>
      <c r="E74">
        <v>2.168932941</v>
      </c>
      <c r="F74">
        <v>2.566803546</v>
      </c>
      <c r="G74">
        <v>2.9251798999999998</v>
      </c>
      <c r="H74">
        <v>3.1744341290000002</v>
      </c>
      <c r="I74">
        <v>3.324817307</v>
      </c>
    </row>
    <row r="75" spans="1:9">
      <c r="A75" t="s">
        <v>73</v>
      </c>
      <c r="B75">
        <v>2.323331939</v>
      </c>
      <c r="C75">
        <v>2.2819041379999998</v>
      </c>
      <c r="D75">
        <v>2.2224691729999999</v>
      </c>
      <c r="E75">
        <v>2.3381774530000001</v>
      </c>
      <c r="F75">
        <v>2.8092083900000002</v>
      </c>
      <c r="G75">
        <v>2.9971957050000002</v>
      </c>
      <c r="H75">
        <v>3.2287694870000001</v>
      </c>
      <c r="I75">
        <v>3.3703445630000002</v>
      </c>
    </row>
    <row r="76" spans="1:9">
      <c r="A76" t="s">
        <v>74</v>
      </c>
      <c r="B76">
        <v>2.3861873770000002</v>
      </c>
      <c r="C76">
        <v>2.3437584</v>
      </c>
      <c r="D76">
        <v>2.3426052940000002</v>
      </c>
      <c r="E76">
        <v>2.3986323679999999</v>
      </c>
      <c r="F76">
        <v>2.775908834</v>
      </c>
      <c r="G76">
        <v>2.975337605</v>
      </c>
      <c r="H76">
        <v>3.1714077289999998</v>
      </c>
      <c r="I76">
        <v>3.3042916990000002</v>
      </c>
    </row>
    <row r="77" spans="1:9">
      <c r="A77" t="s">
        <v>75</v>
      </c>
      <c r="B77">
        <v>2.1978614169999999</v>
      </c>
      <c r="C77">
        <v>2.1588903610000001</v>
      </c>
      <c r="D77">
        <v>2.162725945</v>
      </c>
      <c r="E77">
        <v>2.2844017249999999</v>
      </c>
      <c r="F77">
        <v>2.7957589500000002</v>
      </c>
      <c r="G77">
        <v>2.9825426689999999</v>
      </c>
      <c r="H77">
        <v>3.1937068769999999</v>
      </c>
      <c r="I77">
        <v>3.3093257970000001</v>
      </c>
    </row>
    <row r="78" spans="1:9">
      <c r="A78" t="s">
        <v>76</v>
      </c>
      <c r="B78">
        <v>2.2604797350000001</v>
      </c>
      <c r="C78">
        <v>2.2200599969999999</v>
      </c>
      <c r="D78">
        <v>2.2218020030000001</v>
      </c>
      <c r="E78">
        <v>2.2817944360000002</v>
      </c>
      <c r="F78">
        <v>2.73096914</v>
      </c>
      <c r="G78">
        <v>2.883605819</v>
      </c>
      <c r="H78">
        <v>3.0997648130000002</v>
      </c>
      <c r="I78">
        <v>3.211232232</v>
      </c>
    </row>
    <row r="79" spans="1:9">
      <c r="A79" t="s">
        <v>77</v>
      </c>
      <c r="B79">
        <v>2.1976316890000001</v>
      </c>
      <c r="C79">
        <v>2.1582250740000002</v>
      </c>
      <c r="D79">
        <v>2.1614269070000001</v>
      </c>
      <c r="E79">
        <v>2.2241104589999998</v>
      </c>
      <c r="F79">
        <v>2.667118624</v>
      </c>
      <c r="G79">
        <v>2.839919584</v>
      </c>
      <c r="H79">
        <v>3.0185882159999999</v>
      </c>
      <c r="I79">
        <v>3.1361562790000002</v>
      </c>
    </row>
    <row r="80" spans="1:9">
      <c r="A80" t="s">
        <v>78</v>
      </c>
      <c r="B80">
        <v>2.135009213</v>
      </c>
      <c r="C80">
        <v>2.0352112959999999</v>
      </c>
      <c r="D80">
        <v>2.0419583590000001</v>
      </c>
      <c r="E80">
        <v>2.2804934760000002</v>
      </c>
      <c r="F80">
        <v>2.6398801079999998</v>
      </c>
      <c r="G80">
        <v>2.809111014</v>
      </c>
      <c r="H80">
        <v>3.026502282</v>
      </c>
      <c r="I80">
        <v>3.1645219020000002</v>
      </c>
    </row>
    <row r="81" spans="1:9">
      <c r="A81" t="s">
        <v>79</v>
      </c>
      <c r="B81">
        <v>2.323331939</v>
      </c>
      <c r="C81">
        <v>2.2200599969999999</v>
      </c>
      <c r="D81">
        <v>2.2218020030000001</v>
      </c>
      <c r="E81">
        <v>2.3381774530000001</v>
      </c>
      <c r="F81">
        <v>2.6946278540000002</v>
      </c>
      <c r="G81">
        <v>2.8042273899999999</v>
      </c>
      <c r="H81">
        <v>3.017438168</v>
      </c>
      <c r="I81">
        <v>3.1616357370000001</v>
      </c>
    </row>
    <row r="82" spans="1:9">
      <c r="A82" t="s">
        <v>80</v>
      </c>
      <c r="B82">
        <v>2.3861873770000002</v>
      </c>
      <c r="C82">
        <v>2.2819041379999998</v>
      </c>
      <c r="D82">
        <v>2.2821944919999999</v>
      </c>
      <c r="E82">
        <v>2.5085654750000002</v>
      </c>
      <c r="F82">
        <v>2.7466167559999999</v>
      </c>
      <c r="G82">
        <v>2.8835129350000002</v>
      </c>
      <c r="H82">
        <v>3.0553336240000002</v>
      </c>
      <c r="I82">
        <v>3.1688830729999999</v>
      </c>
    </row>
    <row r="83" spans="1:9">
      <c r="A83" t="s">
        <v>81</v>
      </c>
      <c r="B83">
        <v>2.4487894649999999</v>
      </c>
      <c r="C83">
        <v>2.5278184420000001</v>
      </c>
      <c r="D83">
        <v>2.5209177710000001</v>
      </c>
      <c r="E83">
        <v>2.9019163940000001</v>
      </c>
      <c r="F83">
        <v>3.1463091159999999</v>
      </c>
      <c r="G83">
        <v>3.1780065679999998</v>
      </c>
      <c r="H83">
        <v>3.2629070050000002</v>
      </c>
      <c r="I83">
        <v>3.4244224860000001</v>
      </c>
    </row>
    <row r="84" spans="1:9">
      <c r="A84" t="s">
        <v>82</v>
      </c>
      <c r="B84">
        <v>3.3266255130000002</v>
      </c>
      <c r="C84">
        <v>3.2646555319999999</v>
      </c>
      <c r="D84">
        <v>3.1164814839999999</v>
      </c>
      <c r="E84">
        <v>3.1819379290000001</v>
      </c>
      <c r="F84">
        <v>3.4963299970000001</v>
      </c>
      <c r="G84">
        <v>3.4818780079999998</v>
      </c>
      <c r="H84">
        <v>3.5416425500000002</v>
      </c>
      <c r="I84">
        <v>3.651942252</v>
      </c>
    </row>
    <row r="85" spans="1:9">
      <c r="A85" t="s">
        <v>83</v>
      </c>
      <c r="B85">
        <v>4.3290802340000001</v>
      </c>
      <c r="C85">
        <v>3.6325664419999999</v>
      </c>
      <c r="D85">
        <v>3.532323796</v>
      </c>
      <c r="E85">
        <v>3.1819379290000001</v>
      </c>
      <c r="F85">
        <v>3.6368096489999999</v>
      </c>
      <c r="G85">
        <v>3.6088930769999998</v>
      </c>
      <c r="H85">
        <v>3.731419754</v>
      </c>
      <c r="I85">
        <v>3.7831994130000002</v>
      </c>
    </row>
    <row r="86" spans="1:9">
      <c r="A86" t="s">
        <v>84</v>
      </c>
      <c r="B86">
        <v>4.5167101509999998</v>
      </c>
      <c r="C86">
        <v>3.5707222999999999</v>
      </c>
      <c r="D86">
        <v>3.4125778750000002</v>
      </c>
      <c r="E86">
        <v>3.3476739819999999</v>
      </c>
      <c r="F86">
        <v>3.3458336279999998</v>
      </c>
      <c r="G86">
        <v>3.4726275599999998</v>
      </c>
      <c r="H86">
        <v>3.589921693</v>
      </c>
      <c r="I86">
        <v>3.6366577850000001</v>
      </c>
    </row>
    <row r="87" spans="1:9">
      <c r="A87" t="s">
        <v>85</v>
      </c>
      <c r="B87">
        <v>4.0156923679999998</v>
      </c>
      <c r="C87">
        <v>3.4481226340000002</v>
      </c>
      <c r="D87">
        <v>3.2938188159999999</v>
      </c>
      <c r="E87">
        <v>3.1801308179999999</v>
      </c>
      <c r="F87">
        <v>3.5406149779999998</v>
      </c>
      <c r="G87">
        <v>3.5647111389999999</v>
      </c>
      <c r="H87">
        <v>3.7394936680000002</v>
      </c>
      <c r="I87">
        <v>3.8574166839999999</v>
      </c>
    </row>
    <row r="88" spans="1:9">
      <c r="A88" t="s">
        <v>86</v>
      </c>
      <c r="B88">
        <v>5.3935536720000004</v>
      </c>
      <c r="C88">
        <v>4.7342712130000004</v>
      </c>
      <c r="D88">
        <v>4.4795852580000002</v>
      </c>
      <c r="E88">
        <v>3.9085570280000002</v>
      </c>
      <c r="F88">
        <v>3.707287746</v>
      </c>
      <c r="G88">
        <v>3.6685201749999998</v>
      </c>
      <c r="H88">
        <v>3.6919502359999998</v>
      </c>
      <c r="I88">
        <v>3.8420694530000001</v>
      </c>
    </row>
    <row r="89" spans="1:9">
      <c r="A89" t="s">
        <v>87</v>
      </c>
      <c r="B89">
        <v>5.0175194679999997</v>
      </c>
      <c r="C89">
        <v>4.6113006060000004</v>
      </c>
      <c r="D89">
        <v>4.3010297910000004</v>
      </c>
      <c r="E89">
        <v>4.1258526670000002</v>
      </c>
      <c r="F89">
        <v>4.0524081040000004</v>
      </c>
      <c r="G89">
        <v>3.9507100839999998</v>
      </c>
      <c r="H89">
        <v>3.8889122399999998</v>
      </c>
      <c r="I89">
        <v>4.0359107859999996</v>
      </c>
    </row>
    <row r="90" spans="1:9">
      <c r="A90" t="s">
        <v>88</v>
      </c>
      <c r="B90">
        <v>7.7061949719999996</v>
      </c>
      <c r="C90">
        <v>6.9883317439999999</v>
      </c>
      <c r="D90">
        <v>6.473893554</v>
      </c>
      <c r="E90">
        <v>5.6065906129999998</v>
      </c>
      <c r="F90">
        <v>5.1786949189999998</v>
      </c>
      <c r="G90">
        <v>4.9222916019999996</v>
      </c>
      <c r="H90">
        <v>4.4522453090000003</v>
      </c>
      <c r="I90">
        <v>4.3947004850000004</v>
      </c>
    </row>
    <row r="91" spans="1:9">
      <c r="A91" t="s">
        <v>89</v>
      </c>
      <c r="B91">
        <v>6.9565461749999997</v>
      </c>
      <c r="C91">
        <v>5.6491795290000004</v>
      </c>
      <c r="D91">
        <v>5.3016138829999999</v>
      </c>
      <c r="E91">
        <v>5.0598674429999999</v>
      </c>
      <c r="F91">
        <v>4.8527751090000004</v>
      </c>
      <c r="G91">
        <v>4.7103470779999999</v>
      </c>
      <c r="H91">
        <v>4.5676040499999999</v>
      </c>
      <c r="I91">
        <v>4.4831100639999999</v>
      </c>
    </row>
    <row r="92" spans="1:9">
      <c r="A92" t="s">
        <v>90</v>
      </c>
      <c r="B92">
        <v>4.2662280289999996</v>
      </c>
      <c r="C92">
        <v>3.9989084269999999</v>
      </c>
      <c r="D92">
        <v>3.825391406</v>
      </c>
      <c r="E92">
        <v>4.0105179680000003</v>
      </c>
      <c r="F92">
        <v>3.8778532810000002</v>
      </c>
      <c r="G92">
        <v>3.9124229069999998</v>
      </c>
      <c r="H92">
        <v>4.0500199490000002</v>
      </c>
      <c r="I92">
        <v>4.0521281230000001</v>
      </c>
    </row>
    <row r="93" spans="1:9">
      <c r="A93" t="s">
        <v>91</v>
      </c>
      <c r="B93">
        <v>4.7671410239999998</v>
      </c>
      <c r="C93">
        <v>4.6105921480000003</v>
      </c>
      <c r="D93">
        <v>4.3588176729999999</v>
      </c>
      <c r="E93">
        <v>4.3998285920000004</v>
      </c>
      <c r="F93">
        <v>4.2030792039999998</v>
      </c>
      <c r="G93">
        <v>4.0642091039999997</v>
      </c>
      <c r="H93">
        <v>4.1117465639999997</v>
      </c>
      <c r="I93">
        <v>4.1721233900000003</v>
      </c>
    </row>
    <row r="94" spans="1:9">
      <c r="A94" t="s">
        <v>92</v>
      </c>
      <c r="B94">
        <v>5.3929893809999996</v>
      </c>
      <c r="C94">
        <v>5.0992659979999999</v>
      </c>
      <c r="D94">
        <v>4.9485862000000003</v>
      </c>
      <c r="E94">
        <v>4.8403376160000002</v>
      </c>
      <c r="F94">
        <v>4.5033851719999998</v>
      </c>
      <c r="G94">
        <v>4.3034249999999998</v>
      </c>
      <c r="H94">
        <v>4.1104512399999997</v>
      </c>
      <c r="I94">
        <v>4.1815643380000003</v>
      </c>
    </row>
    <row r="95" spans="1:9">
      <c r="A95" t="s">
        <v>93</v>
      </c>
      <c r="B95">
        <v>6.2686279919999999</v>
      </c>
      <c r="C95">
        <v>5.7092707499999999</v>
      </c>
      <c r="D95">
        <v>5.5366200560000003</v>
      </c>
      <c r="E95">
        <v>5.3882599009999996</v>
      </c>
      <c r="F95">
        <v>4.9776775669999997</v>
      </c>
      <c r="G95">
        <v>4.6811176650000004</v>
      </c>
      <c r="H95">
        <v>4.3863296700000003</v>
      </c>
      <c r="I95">
        <v>4.3455005680000003</v>
      </c>
    </row>
    <row r="96" spans="1:9">
      <c r="A96" t="s">
        <v>94</v>
      </c>
      <c r="B96">
        <v>7.330663639</v>
      </c>
      <c r="C96">
        <v>6.2565210310000001</v>
      </c>
      <c r="D96">
        <v>6.062575227</v>
      </c>
      <c r="E96">
        <v>5.6610988899999999</v>
      </c>
      <c r="F96">
        <v>5.1165231179999999</v>
      </c>
      <c r="G96">
        <v>4.7941369250000001</v>
      </c>
      <c r="H96">
        <v>4.5558006710000001</v>
      </c>
      <c r="I96">
        <v>4.5256986350000004</v>
      </c>
    </row>
    <row r="97" spans="1:9">
      <c r="A97" t="s">
        <v>95</v>
      </c>
      <c r="B97">
        <v>13.06501972</v>
      </c>
      <c r="C97">
        <v>8.8690967769999993</v>
      </c>
      <c r="D97">
        <v>7.178234615</v>
      </c>
      <c r="E97">
        <v>6.1606797010000003</v>
      </c>
      <c r="F97">
        <v>5.1916916860000004</v>
      </c>
      <c r="G97">
        <v>4.8606006839999996</v>
      </c>
      <c r="H97">
        <v>4.7241478480000003</v>
      </c>
      <c r="I97">
        <v>4.7655093580000001</v>
      </c>
    </row>
    <row r="98" spans="1:9">
      <c r="A98" t="s">
        <v>96</v>
      </c>
      <c r="B98">
        <v>15.684875590000001</v>
      </c>
      <c r="C98">
        <v>9.6119787639999998</v>
      </c>
      <c r="D98">
        <v>8.8450517830000006</v>
      </c>
      <c r="E98">
        <v>7.0270107900000003</v>
      </c>
      <c r="F98">
        <v>5.992754336</v>
      </c>
      <c r="G98">
        <v>5.4963212849999996</v>
      </c>
      <c r="H98">
        <v>5.4746053760000004</v>
      </c>
      <c r="I98">
        <v>5.4365879860000001</v>
      </c>
    </row>
    <row r="99" spans="1:9">
      <c r="A99" t="s">
        <v>97</v>
      </c>
      <c r="B99">
        <v>9.9658529680000001</v>
      </c>
      <c r="C99">
        <v>8.2916256750000006</v>
      </c>
      <c r="D99">
        <v>7.342652041</v>
      </c>
      <c r="E99">
        <v>5.7415761129999998</v>
      </c>
      <c r="F99">
        <v>5.2561941719999998</v>
      </c>
      <c r="G99">
        <v>5.068373909</v>
      </c>
      <c r="H99">
        <v>5.0702645559999997</v>
      </c>
      <c r="I99">
        <v>5.0664267870000002</v>
      </c>
    </row>
    <row r="100" spans="1:9">
      <c r="A100" t="s">
        <v>98</v>
      </c>
      <c r="B100">
        <v>8.5837784189999997</v>
      </c>
      <c r="C100">
        <v>7.790667526</v>
      </c>
      <c r="D100">
        <v>7.2038789059999999</v>
      </c>
      <c r="E100">
        <v>5.7738301549999997</v>
      </c>
      <c r="F100">
        <v>5.7064941129999998</v>
      </c>
      <c r="G100">
        <v>5.4828207469999999</v>
      </c>
      <c r="H100">
        <v>5.3419526409999998</v>
      </c>
      <c r="I100">
        <v>5.279225662</v>
      </c>
    </row>
    <row r="101" spans="1:9">
      <c r="A101" t="s">
        <v>99</v>
      </c>
      <c r="B101">
        <v>9.1479204260000007</v>
      </c>
      <c r="C101">
        <v>7.6142142740000001</v>
      </c>
      <c r="D101">
        <v>7.455396081</v>
      </c>
      <c r="E101">
        <v>6.7387204049999996</v>
      </c>
      <c r="F101">
        <v>6.6059729709999999</v>
      </c>
      <c r="G101">
        <v>6.6331970519999999</v>
      </c>
      <c r="H101">
        <v>6.2715277919999997</v>
      </c>
      <c r="I101">
        <v>6.183325902</v>
      </c>
    </row>
    <row r="102" spans="1:9">
      <c r="A102" t="s">
        <v>100</v>
      </c>
      <c r="B102">
        <v>6.5849854260000003</v>
      </c>
      <c r="C102">
        <v>6.3319422369999998</v>
      </c>
      <c r="D102">
        <v>6.5125784080000004</v>
      </c>
      <c r="E102">
        <v>6.0725043110000003</v>
      </c>
      <c r="F102">
        <v>6.1744299659999999</v>
      </c>
      <c r="G102">
        <v>6.1762834809999996</v>
      </c>
      <c r="H102">
        <v>5.9002369940000001</v>
      </c>
      <c r="I102">
        <v>5.8660358659999998</v>
      </c>
    </row>
    <row r="103" spans="1:9">
      <c r="A103" t="s">
        <v>101</v>
      </c>
      <c r="B103">
        <v>5.7737713319999999</v>
      </c>
      <c r="C103">
        <v>5.726849906</v>
      </c>
      <c r="D103">
        <v>5.8163421089999998</v>
      </c>
      <c r="E103">
        <v>5.6567689559999996</v>
      </c>
      <c r="F103">
        <v>6.0173233589999997</v>
      </c>
      <c r="G103">
        <v>5.9234071840000002</v>
      </c>
      <c r="H103">
        <v>5.8291401699999996</v>
      </c>
      <c r="I103">
        <v>5.7872664169999997</v>
      </c>
    </row>
    <row r="104" spans="1:9">
      <c r="A104" t="s">
        <v>102</v>
      </c>
      <c r="B104">
        <v>5.7725639419999997</v>
      </c>
      <c r="C104">
        <v>5.5408273650000002</v>
      </c>
      <c r="D104">
        <v>5.2213446069999998</v>
      </c>
      <c r="E104">
        <v>5.2641256099999998</v>
      </c>
      <c r="F104">
        <v>5.0127018559999996</v>
      </c>
      <c r="G104">
        <v>5.0615221520000002</v>
      </c>
      <c r="H104">
        <v>5.0552844800000001</v>
      </c>
      <c r="I104">
        <v>5.0579768889999999</v>
      </c>
    </row>
    <row r="105" spans="1:9">
      <c r="A105" t="s">
        <v>103</v>
      </c>
      <c r="B105">
        <v>5.7719606690000003</v>
      </c>
      <c r="C105">
        <v>5.477153199</v>
      </c>
      <c r="D105">
        <v>4.9782696030000002</v>
      </c>
      <c r="E105">
        <v>4.9764865049999996</v>
      </c>
      <c r="F105">
        <v>4.9216045460000002</v>
      </c>
      <c r="G105">
        <v>4.892199057</v>
      </c>
      <c r="H105">
        <v>4.8448075389999996</v>
      </c>
      <c r="I105">
        <v>4.838433599</v>
      </c>
    </row>
    <row r="106" spans="1:9">
      <c r="A106" t="s">
        <v>104</v>
      </c>
      <c r="B106">
        <v>5.5844738170000001</v>
      </c>
      <c r="C106">
        <v>5.416860368</v>
      </c>
      <c r="D106">
        <v>5.0997700339999996</v>
      </c>
      <c r="E106">
        <v>4.9234876099999996</v>
      </c>
      <c r="F106">
        <v>4.8939001749999997</v>
      </c>
      <c r="G106">
        <v>4.7934013640000002</v>
      </c>
      <c r="H106">
        <v>4.7527980230000004</v>
      </c>
      <c r="I106">
        <v>4.7586362250000001</v>
      </c>
    </row>
    <row r="107" spans="1:9">
      <c r="A107" t="s">
        <v>105</v>
      </c>
      <c r="B107">
        <v>4.4571243999999997</v>
      </c>
      <c r="C107">
        <v>4.7430204250000001</v>
      </c>
      <c r="D107">
        <v>4.7411737030000003</v>
      </c>
      <c r="E107">
        <v>4.8061913010000001</v>
      </c>
      <c r="F107">
        <v>4.8100216339999999</v>
      </c>
      <c r="G107">
        <v>4.7152573530000002</v>
      </c>
      <c r="H107">
        <v>4.5960350740000004</v>
      </c>
      <c r="I107">
        <v>4.6035012350000004</v>
      </c>
    </row>
    <row r="108" spans="1:9">
      <c r="A108" t="s">
        <v>106</v>
      </c>
      <c r="B108">
        <v>5.2722544850000004</v>
      </c>
      <c r="C108">
        <v>5.9075008789999996</v>
      </c>
      <c r="D108">
        <v>4.923451687</v>
      </c>
      <c r="E108">
        <v>5.2641256099999998</v>
      </c>
      <c r="F108">
        <v>5.2684281410000002</v>
      </c>
      <c r="G108">
        <v>5.0877217850000003</v>
      </c>
      <c r="H108">
        <v>4.9323748859999998</v>
      </c>
      <c r="I108">
        <v>4.9426955780000004</v>
      </c>
    </row>
    <row r="109" spans="1:9">
      <c r="A109" t="s">
        <v>107</v>
      </c>
      <c r="B109">
        <v>5.2077186659999999</v>
      </c>
      <c r="C109">
        <v>5.1102548920000004</v>
      </c>
      <c r="D109">
        <v>5.0936572570000003</v>
      </c>
      <c r="E109">
        <v>5.1935054989999996</v>
      </c>
      <c r="F109">
        <v>5.2528774560000002</v>
      </c>
      <c r="G109">
        <v>5.2259723810000001</v>
      </c>
      <c r="H109">
        <v>5.0276893319999996</v>
      </c>
      <c r="I109">
        <v>5.037773627</v>
      </c>
    </row>
    <row r="110" spans="1:9">
      <c r="A110" t="s">
        <v>108</v>
      </c>
      <c r="B110">
        <v>5.0830286009999996</v>
      </c>
      <c r="C110">
        <v>5.1102548920000004</v>
      </c>
      <c r="D110">
        <v>5.2150845539999997</v>
      </c>
      <c r="E110">
        <v>5.1994416269999997</v>
      </c>
      <c r="F110">
        <v>5.3764125470000002</v>
      </c>
      <c r="G110">
        <v>5.3372678840000001</v>
      </c>
      <c r="H110">
        <v>5.2713199120000001</v>
      </c>
      <c r="I110">
        <v>5.2866850909999998</v>
      </c>
    </row>
    <row r="111" spans="1:9">
      <c r="A111" t="s">
        <v>109</v>
      </c>
      <c r="B111">
        <v>4.3928537219999999</v>
      </c>
      <c r="C111">
        <v>4.5571704420000003</v>
      </c>
      <c r="D111">
        <v>4.7383296250000004</v>
      </c>
      <c r="E111">
        <v>5.08221407</v>
      </c>
      <c r="F111">
        <v>5.2848040029999996</v>
      </c>
      <c r="G111">
        <v>5.2902426199999999</v>
      </c>
      <c r="H111">
        <v>5.2601298549999997</v>
      </c>
      <c r="I111">
        <v>5.2618096669999996</v>
      </c>
    </row>
    <row r="112" spans="1:9">
      <c r="A112" t="s">
        <v>110</v>
      </c>
      <c r="B112">
        <v>4.5200189999999996</v>
      </c>
      <c r="C112">
        <v>4.6233824099999996</v>
      </c>
      <c r="D112">
        <v>4.8655957399999998</v>
      </c>
      <c r="E112">
        <v>4.8172184050000002</v>
      </c>
      <c r="F112">
        <v>5.2126643020000003</v>
      </c>
      <c r="G112">
        <v>5.2337514880000002</v>
      </c>
      <c r="H112">
        <v>5.1897794729999998</v>
      </c>
      <c r="I112">
        <v>5.1680804279999997</v>
      </c>
    </row>
    <row r="113" spans="1:9">
      <c r="A113" t="s">
        <v>111</v>
      </c>
      <c r="B113">
        <v>4.1444338309999997</v>
      </c>
      <c r="C113">
        <v>4.3174787099999996</v>
      </c>
      <c r="D113">
        <v>4.5700269200000001</v>
      </c>
      <c r="E113">
        <v>4.929132589</v>
      </c>
      <c r="F113">
        <v>5.2205027929999996</v>
      </c>
      <c r="G113">
        <v>5.2391609839999997</v>
      </c>
      <c r="H113">
        <v>5.1441164300000004</v>
      </c>
      <c r="I113">
        <v>5.113179014</v>
      </c>
    </row>
    <row r="114" spans="1:9">
      <c r="A114" t="s">
        <v>112</v>
      </c>
      <c r="B114">
        <v>4.4580577410000002</v>
      </c>
      <c r="C114">
        <v>4.5021702030000004</v>
      </c>
      <c r="D114">
        <v>4.8105772939999998</v>
      </c>
      <c r="E114">
        <v>4.9964960700000001</v>
      </c>
      <c r="F114">
        <v>5.2963573549999996</v>
      </c>
      <c r="G114">
        <v>5.359075625</v>
      </c>
      <c r="H114">
        <v>5.3468072869999999</v>
      </c>
      <c r="I114">
        <v>5.3462467020000002</v>
      </c>
    </row>
    <row r="115" spans="1:9">
      <c r="A115" t="s">
        <v>113</v>
      </c>
      <c r="B115">
        <v>4.1448674460000001</v>
      </c>
      <c r="C115">
        <v>4.1973564049999998</v>
      </c>
      <c r="D115">
        <v>4.3955637999999997</v>
      </c>
      <c r="E115">
        <v>4.6035867269999997</v>
      </c>
      <c r="F115">
        <v>5.1065588660000003</v>
      </c>
      <c r="G115">
        <v>5.1759235910000001</v>
      </c>
      <c r="H115">
        <v>5.1408366970000001</v>
      </c>
      <c r="I115">
        <v>5.139750813</v>
      </c>
    </row>
    <row r="116" spans="1:9">
      <c r="A116" t="s">
        <v>114</v>
      </c>
      <c r="B116">
        <v>3.6432207980000002</v>
      </c>
      <c r="C116">
        <v>3.8287678920000001</v>
      </c>
      <c r="D116">
        <v>4.0987959439999999</v>
      </c>
      <c r="E116">
        <v>4.380896269</v>
      </c>
      <c r="F116">
        <v>4.8144444540000002</v>
      </c>
      <c r="G116">
        <v>4.9094101610000003</v>
      </c>
      <c r="H116">
        <v>4.9057626330000002</v>
      </c>
      <c r="I116">
        <v>4.9035747409999999</v>
      </c>
    </row>
    <row r="117" spans="1:9">
      <c r="A117" t="s">
        <v>115</v>
      </c>
      <c r="B117">
        <v>3.20410817</v>
      </c>
      <c r="C117">
        <v>3.3362724610000001</v>
      </c>
      <c r="D117">
        <v>3.6198295620000001</v>
      </c>
      <c r="E117">
        <v>4.093776385</v>
      </c>
      <c r="F117">
        <v>4.4115416630000004</v>
      </c>
      <c r="G117">
        <v>4.5990935009999996</v>
      </c>
      <c r="H117">
        <v>4.5946283189999999</v>
      </c>
      <c r="I117">
        <v>4.5865877490000004</v>
      </c>
    </row>
    <row r="118" spans="1:9">
      <c r="A118" t="s">
        <v>116</v>
      </c>
      <c r="B118">
        <v>3.3924967669999999</v>
      </c>
      <c r="C118">
        <v>3.5224387660000001</v>
      </c>
      <c r="D118">
        <v>3.8025515009999999</v>
      </c>
      <c r="E118">
        <v>4.1622528079999999</v>
      </c>
      <c r="F118">
        <v>4.3332495179999997</v>
      </c>
      <c r="G118">
        <v>4.4429133260000002</v>
      </c>
      <c r="H118">
        <v>4.5264323949999996</v>
      </c>
      <c r="I118">
        <v>4.5336743999999998</v>
      </c>
    </row>
    <row r="119" spans="1:9">
      <c r="A119" t="s">
        <v>117</v>
      </c>
      <c r="B119">
        <v>2.450970001</v>
      </c>
      <c r="C119">
        <v>2.6593256809999999</v>
      </c>
      <c r="D119">
        <v>2.963765381</v>
      </c>
      <c r="E119">
        <v>3.4214519440000002</v>
      </c>
      <c r="F119">
        <v>4.1096349879999998</v>
      </c>
      <c r="G119">
        <v>4.3057541549999998</v>
      </c>
      <c r="H119">
        <v>4.4897616779999998</v>
      </c>
      <c r="I119">
        <v>4.5579464520000004</v>
      </c>
    </row>
    <row r="120" spans="1:9">
      <c r="A120" t="s">
        <v>118</v>
      </c>
      <c r="B120">
        <v>2.8275981200000002</v>
      </c>
      <c r="C120">
        <v>2.7825853760000001</v>
      </c>
      <c r="D120">
        <v>3.0228826930000001</v>
      </c>
      <c r="E120">
        <v>3.5333585759999999</v>
      </c>
      <c r="F120">
        <v>4.0653230520000001</v>
      </c>
      <c r="G120">
        <v>4.3201625909999999</v>
      </c>
      <c r="H120">
        <v>4.4244385609999997</v>
      </c>
      <c r="I120">
        <v>4.5473091339999998</v>
      </c>
    </row>
    <row r="121" spans="1:9">
      <c r="A121" t="s">
        <v>119</v>
      </c>
      <c r="B121">
        <v>3.078617988</v>
      </c>
      <c r="C121">
        <v>3.2141951600000001</v>
      </c>
      <c r="D121">
        <v>3.3236756060000001</v>
      </c>
      <c r="E121">
        <v>3.8787390020000001</v>
      </c>
      <c r="F121">
        <v>4.307198445</v>
      </c>
      <c r="G121">
        <v>4.4790739390000001</v>
      </c>
      <c r="H121">
        <v>4.5707061160000002</v>
      </c>
      <c r="I121">
        <v>4.6560494529999996</v>
      </c>
    </row>
    <row r="122" spans="1:9">
      <c r="A122" t="s">
        <v>120</v>
      </c>
      <c r="B122">
        <v>2.639714068</v>
      </c>
      <c r="C122">
        <v>2.9697009240000001</v>
      </c>
      <c r="D122">
        <v>3.3276985460000001</v>
      </c>
      <c r="E122">
        <v>3.5436235960000002</v>
      </c>
      <c r="F122">
        <v>4.2391503070000001</v>
      </c>
      <c r="G122">
        <v>4.3670098900000003</v>
      </c>
      <c r="H122">
        <v>4.4899478239999997</v>
      </c>
      <c r="I122">
        <v>4.572880198</v>
      </c>
    </row>
    <row r="123" spans="1:9">
      <c r="A123" t="s">
        <v>121</v>
      </c>
      <c r="B123">
        <v>3.0794241379999998</v>
      </c>
      <c r="C123">
        <v>3.3409168419999999</v>
      </c>
      <c r="D123">
        <v>3.6307808669999999</v>
      </c>
      <c r="E123">
        <v>3.7233473080000001</v>
      </c>
      <c r="F123">
        <v>4.3231305759999996</v>
      </c>
      <c r="G123">
        <v>4.4471612929999997</v>
      </c>
      <c r="H123">
        <v>4.3710354279999999</v>
      </c>
      <c r="I123">
        <v>4.4261674820000003</v>
      </c>
    </row>
    <row r="124" spans="1:9">
      <c r="A124" t="s">
        <v>122</v>
      </c>
      <c r="B124">
        <v>2.765704811</v>
      </c>
      <c r="C124">
        <v>3.2186714959999998</v>
      </c>
      <c r="D124">
        <v>3.3928238070000001</v>
      </c>
      <c r="E124">
        <v>3.7848415929999999</v>
      </c>
      <c r="F124">
        <v>4.1702601359999996</v>
      </c>
      <c r="G124">
        <v>4.2872459020000004</v>
      </c>
      <c r="H124">
        <v>4.2809549379999998</v>
      </c>
      <c r="I124">
        <v>4.3314997479999997</v>
      </c>
    </row>
    <row r="125" spans="1:9">
      <c r="A125" t="s">
        <v>123</v>
      </c>
      <c r="B125">
        <v>2.765125093</v>
      </c>
      <c r="C125">
        <v>3.2166808410000001</v>
      </c>
      <c r="D125">
        <v>3.5086875389999999</v>
      </c>
      <c r="E125">
        <v>3.8900003299999999</v>
      </c>
      <c r="F125">
        <v>4.4884304740000003</v>
      </c>
      <c r="G125">
        <v>4.6020814870000004</v>
      </c>
      <c r="H125">
        <v>4.5879842340000003</v>
      </c>
      <c r="I125">
        <v>4.590345385</v>
      </c>
    </row>
    <row r="126" spans="1:9">
      <c r="A126" t="s">
        <v>124</v>
      </c>
      <c r="B126">
        <v>3.2678760570000001</v>
      </c>
      <c r="C126">
        <v>3.5251629950000001</v>
      </c>
      <c r="D126">
        <v>3.929203931</v>
      </c>
      <c r="E126">
        <v>4.4604167639999996</v>
      </c>
      <c r="F126">
        <v>4.7755555799999998</v>
      </c>
      <c r="G126">
        <v>4.854291291</v>
      </c>
      <c r="H126">
        <v>4.8317929270000004</v>
      </c>
      <c r="I126">
        <v>4.7454618999999996</v>
      </c>
    </row>
    <row r="127" spans="1:9">
      <c r="A127" t="s">
        <v>125</v>
      </c>
      <c r="B127">
        <v>3.770230733</v>
      </c>
      <c r="C127">
        <v>3.956554568</v>
      </c>
      <c r="D127">
        <v>4.2295549069999998</v>
      </c>
      <c r="E127">
        <v>4.6894933129999998</v>
      </c>
      <c r="F127">
        <v>4.6619794910000003</v>
      </c>
      <c r="G127">
        <v>4.6769806129999996</v>
      </c>
      <c r="H127">
        <v>4.6604527750000004</v>
      </c>
      <c r="I127">
        <v>4.5657051109999998</v>
      </c>
    </row>
    <row r="128" spans="1:9">
      <c r="A128" t="s">
        <v>126</v>
      </c>
      <c r="B128">
        <v>2.9541976249999999</v>
      </c>
      <c r="C128">
        <v>3.2176749619999998</v>
      </c>
      <c r="D128">
        <v>3.5708047239999998</v>
      </c>
      <c r="E128">
        <v>4.0654065690000003</v>
      </c>
      <c r="F128">
        <v>4.4499552759999998</v>
      </c>
      <c r="G128">
        <v>4.4771780630000002</v>
      </c>
      <c r="H128">
        <v>4.4762509350000004</v>
      </c>
      <c r="I128">
        <v>4.4016770489999999</v>
      </c>
    </row>
    <row r="129" spans="1:9">
      <c r="A129" t="s">
        <v>127</v>
      </c>
      <c r="B129">
        <v>3.016973932</v>
      </c>
      <c r="C129">
        <v>3.279300133</v>
      </c>
      <c r="D129">
        <v>3.6307808669999999</v>
      </c>
      <c r="E129">
        <v>3.9515167710000001</v>
      </c>
      <c r="F129">
        <v>4.2687415179999997</v>
      </c>
      <c r="G129">
        <v>4.3211460539999997</v>
      </c>
      <c r="H129">
        <v>4.3352011829999997</v>
      </c>
      <c r="I129">
        <v>4.3044351829999998</v>
      </c>
    </row>
    <row r="130" spans="1:9">
      <c r="A130" t="s">
        <v>128</v>
      </c>
      <c r="B130">
        <v>3.0808766319999998</v>
      </c>
      <c r="C130">
        <v>3.1579949369999998</v>
      </c>
      <c r="D130">
        <v>3.3928238070000001</v>
      </c>
      <c r="E130">
        <v>3.6683585060000001</v>
      </c>
      <c r="F130">
        <v>4.0206930190000003</v>
      </c>
      <c r="G130">
        <v>4.037534248</v>
      </c>
      <c r="H130">
        <v>4.094820007</v>
      </c>
      <c r="I130">
        <v>4.0467550030000004</v>
      </c>
    </row>
    <row r="131" spans="1:9">
      <c r="A131" t="s">
        <v>129</v>
      </c>
      <c r="B131">
        <v>3.3323774670000001</v>
      </c>
      <c r="C131">
        <v>3.4062104780000002</v>
      </c>
      <c r="D131">
        <v>3.6362832329999999</v>
      </c>
      <c r="E131">
        <v>3.8442034430000001</v>
      </c>
      <c r="F131">
        <v>4.1483412460000002</v>
      </c>
      <c r="G131">
        <v>4.1457251460000002</v>
      </c>
      <c r="H131">
        <v>4.1781607259999998</v>
      </c>
      <c r="I131">
        <v>4.1860693449999999</v>
      </c>
    </row>
    <row r="132" spans="1:9">
      <c r="A132" t="s">
        <v>130</v>
      </c>
      <c r="B132">
        <v>3.3327263899999999</v>
      </c>
      <c r="C132">
        <v>3.4077934769999998</v>
      </c>
      <c r="D132">
        <v>3.5783849490000001</v>
      </c>
      <c r="E132">
        <v>3.734209968</v>
      </c>
      <c r="F132">
        <v>4.0877892329999996</v>
      </c>
      <c r="G132">
        <v>4.0944525470000004</v>
      </c>
      <c r="H132">
        <v>4.0114036479999999</v>
      </c>
      <c r="I132">
        <v>4.0053463989999996</v>
      </c>
    </row>
    <row r="133" spans="1:9">
      <c r="A133" t="s">
        <v>131</v>
      </c>
      <c r="B133">
        <v>2.8299693750000001</v>
      </c>
      <c r="C133">
        <v>2.9752217299999999</v>
      </c>
      <c r="D133">
        <v>3.1562059850000002</v>
      </c>
      <c r="E133">
        <v>3.388011664</v>
      </c>
      <c r="F133">
        <v>3.7706011340000001</v>
      </c>
      <c r="G133">
        <v>3.7869290699999998</v>
      </c>
      <c r="H133">
        <v>3.7355812730000002</v>
      </c>
      <c r="I133">
        <v>3.7283555110000002</v>
      </c>
    </row>
    <row r="134" spans="1:9">
      <c r="A134" t="s">
        <v>132</v>
      </c>
      <c r="B134">
        <v>2.7667195480000002</v>
      </c>
      <c r="C134">
        <v>2.9743001910000002</v>
      </c>
      <c r="D134">
        <v>3.1542913430000001</v>
      </c>
      <c r="E134">
        <v>3.2673450769999999</v>
      </c>
      <c r="F134">
        <v>3.7038084919999998</v>
      </c>
      <c r="G134">
        <v>3.739275364</v>
      </c>
      <c r="H134">
        <v>3.7488247760000002</v>
      </c>
      <c r="I134">
        <v>3.733557351</v>
      </c>
    </row>
    <row r="135" spans="1:9">
      <c r="A135" t="s">
        <v>133</v>
      </c>
      <c r="B135">
        <v>2.5781461960000001</v>
      </c>
      <c r="C135">
        <v>2.7877574150000002</v>
      </c>
      <c r="D135">
        <v>3.0320481880000001</v>
      </c>
      <c r="E135">
        <v>3.3227928150000001</v>
      </c>
      <c r="F135">
        <v>3.589382155</v>
      </c>
      <c r="G135">
        <v>3.6376533310000001</v>
      </c>
      <c r="H135">
        <v>3.684743305</v>
      </c>
      <c r="I135">
        <v>3.681074819</v>
      </c>
    </row>
    <row r="136" spans="1:9">
      <c r="A136" t="s">
        <v>134</v>
      </c>
      <c r="B136">
        <v>2.5784168470000002</v>
      </c>
      <c r="C136">
        <v>2.7886213049999999</v>
      </c>
      <c r="D136">
        <v>2.9727568249999998</v>
      </c>
      <c r="E136">
        <v>3.2673450769999999</v>
      </c>
      <c r="F136">
        <v>3.450855996</v>
      </c>
      <c r="G136">
        <v>3.525261687</v>
      </c>
      <c r="H136">
        <v>3.5878347939999999</v>
      </c>
      <c r="I136">
        <v>3.5889657210000001</v>
      </c>
    </row>
    <row r="137" spans="1:9">
      <c r="A137" t="s">
        <v>135</v>
      </c>
      <c r="B137">
        <v>2.1384797290000002</v>
      </c>
      <c r="C137">
        <v>2.3557454099999999</v>
      </c>
      <c r="D137">
        <v>2.6111107320000002</v>
      </c>
      <c r="E137">
        <v>2.9799197930000001</v>
      </c>
      <c r="F137">
        <v>3.1276473380000001</v>
      </c>
      <c r="G137">
        <v>3.2479841660000002</v>
      </c>
      <c r="H137">
        <v>3.2995552840000002</v>
      </c>
      <c r="I137">
        <v>3.3671399000000002</v>
      </c>
    </row>
    <row r="138" spans="1:9">
      <c r="A138" t="s">
        <v>136</v>
      </c>
      <c r="B138">
        <v>2.3275952000000002</v>
      </c>
      <c r="C138">
        <v>2.2327965519999999</v>
      </c>
      <c r="D138">
        <v>2.4322588629999999</v>
      </c>
      <c r="E138">
        <v>2.7526029620000001</v>
      </c>
      <c r="F138">
        <v>2.9314254599999998</v>
      </c>
      <c r="G138">
        <v>3.0209083799999998</v>
      </c>
      <c r="H138">
        <v>3.0947977990000002</v>
      </c>
      <c r="I138">
        <v>3.2115495479999998</v>
      </c>
    </row>
    <row r="139" spans="1:9">
      <c r="A139" t="s">
        <v>137</v>
      </c>
      <c r="B139">
        <v>2.2642716959999998</v>
      </c>
      <c r="C139">
        <v>2.1706063219999998</v>
      </c>
      <c r="D139">
        <v>2.3099406560000002</v>
      </c>
      <c r="E139">
        <v>2.7526029620000001</v>
      </c>
      <c r="F139">
        <v>2.889696378</v>
      </c>
      <c r="G139">
        <v>2.9852018199999999</v>
      </c>
      <c r="H139">
        <v>3.0177018360000001</v>
      </c>
      <c r="I139">
        <v>3.1632316559999998</v>
      </c>
    </row>
    <row r="140" spans="1:9">
      <c r="A140" t="s">
        <v>138</v>
      </c>
      <c r="B140">
        <v>1.761839121</v>
      </c>
      <c r="C140">
        <v>1.737964691</v>
      </c>
      <c r="D140">
        <v>1.948167623</v>
      </c>
      <c r="E140">
        <v>2.3487906569999999</v>
      </c>
      <c r="F140">
        <v>2.507345602</v>
      </c>
      <c r="G140">
        <v>2.6673725770000001</v>
      </c>
      <c r="H140">
        <v>2.8397714230000002</v>
      </c>
      <c r="I140">
        <v>3.0479278129999998</v>
      </c>
    </row>
    <row r="141" spans="1:9">
      <c r="A141" t="s">
        <v>139</v>
      </c>
      <c r="B141">
        <v>1.7620236739999999</v>
      </c>
      <c r="C141">
        <v>1.862394697</v>
      </c>
      <c r="D141">
        <v>2.009353967</v>
      </c>
      <c r="E141">
        <v>2.4096384870000001</v>
      </c>
      <c r="F141">
        <v>2.6604260829999999</v>
      </c>
      <c r="G141">
        <v>2.7739258279999999</v>
      </c>
      <c r="H141">
        <v>2.8727654399999998</v>
      </c>
      <c r="I141">
        <v>3.0770129220000002</v>
      </c>
    </row>
    <row r="142" spans="1:9">
      <c r="A142" t="s">
        <v>140</v>
      </c>
      <c r="B142">
        <v>2.328205369</v>
      </c>
      <c r="C142">
        <v>2.1729638360000001</v>
      </c>
      <c r="D142">
        <v>2.3141605940000001</v>
      </c>
      <c r="E142">
        <v>2.6447511769999998</v>
      </c>
      <c r="F142">
        <v>2.765653361</v>
      </c>
      <c r="G142">
        <v>2.855119459</v>
      </c>
      <c r="H142">
        <v>2.875434754</v>
      </c>
      <c r="I142">
        <v>2.9652581900000001</v>
      </c>
    </row>
    <row r="143" spans="1:9">
      <c r="A143" t="s">
        <v>141</v>
      </c>
      <c r="B143">
        <v>2.5800387389999999</v>
      </c>
      <c r="C143">
        <v>2.545474392</v>
      </c>
      <c r="D143">
        <v>2.436703574</v>
      </c>
      <c r="E143">
        <v>2.762310222</v>
      </c>
      <c r="F143">
        <v>2.7433074550000001</v>
      </c>
      <c r="G143">
        <v>2.7948440259999998</v>
      </c>
      <c r="H143">
        <v>2.7962895040000002</v>
      </c>
      <c r="I143">
        <v>2.892763972</v>
      </c>
    </row>
    <row r="144" spans="1:9">
      <c r="A144" t="s">
        <v>142</v>
      </c>
      <c r="B144">
        <v>2.580715638</v>
      </c>
      <c r="C144">
        <v>2.113339619</v>
      </c>
      <c r="D144">
        <v>2.1356876429999998</v>
      </c>
      <c r="E144">
        <v>2.3584863180000002</v>
      </c>
      <c r="F144">
        <v>2.4292260699999999</v>
      </c>
      <c r="G144">
        <v>2.4596090930000001</v>
      </c>
      <c r="H144">
        <v>2.4706553520000001</v>
      </c>
      <c r="I144">
        <v>2.5714677340000001</v>
      </c>
    </row>
    <row r="145" spans="1:9">
      <c r="A145" t="s">
        <v>143</v>
      </c>
      <c r="B145">
        <v>3.0206135449999998</v>
      </c>
      <c r="C145">
        <v>2.5474511799999999</v>
      </c>
      <c r="D145">
        <v>2.3183969109999998</v>
      </c>
      <c r="E145">
        <v>2.4181670159999999</v>
      </c>
      <c r="F145">
        <v>2.3133425500000002</v>
      </c>
      <c r="G145">
        <v>2.3159862599999999</v>
      </c>
      <c r="H145">
        <v>2.2974659150000001</v>
      </c>
      <c r="I145">
        <v>2.2899739779999999</v>
      </c>
    </row>
    <row r="146" spans="1:9">
      <c r="A146" t="s">
        <v>144</v>
      </c>
      <c r="B146">
        <v>2.7691854010000001</v>
      </c>
      <c r="C146">
        <v>2.6097876420000001</v>
      </c>
      <c r="D146">
        <v>2.3191043179999999</v>
      </c>
      <c r="E146">
        <v>2.2445214939999998</v>
      </c>
      <c r="F146">
        <v>2.3403802640000002</v>
      </c>
      <c r="G146">
        <v>2.4002410940000001</v>
      </c>
      <c r="H146">
        <v>2.3691121489999998</v>
      </c>
      <c r="I146">
        <v>2.3713041260000001</v>
      </c>
    </row>
    <row r="147" spans="1:9">
      <c r="A147" t="s">
        <v>145</v>
      </c>
      <c r="B147">
        <v>2.5177055130000001</v>
      </c>
      <c r="C147">
        <v>2.6097876420000001</v>
      </c>
      <c r="D147">
        <v>2.3804980659999999</v>
      </c>
      <c r="E147">
        <v>2.3626648220000002</v>
      </c>
      <c r="F147">
        <v>2.226327312</v>
      </c>
      <c r="G147">
        <v>2.2740427919999999</v>
      </c>
      <c r="H147">
        <v>2.234268079</v>
      </c>
      <c r="I147">
        <v>2.2161150369999998</v>
      </c>
    </row>
    <row r="148" spans="1:9">
      <c r="A148" t="s">
        <v>146</v>
      </c>
      <c r="B148">
        <v>2.5174417789999999</v>
      </c>
      <c r="C148">
        <v>2.670888492</v>
      </c>
      <c r="D148">
        <v>2.3797717459999999</v>
      </c>
      <c r="E148">
        <v>2.3029128019999998</v>
      </c>
      <c r="F148">
        <v>2.3098938100000002</v>
      </c>
      <c r="G148">
        <v>2.3210197290000001</v>
      </c>
      <c r="H148">
        <v>2.2600838419999998</v>
      </c>
      <c r="I148">
        <v>2.19821037</v>
      </c>
    </row>
    <row r="149" spans="1:9">
      <c r="A149" t="s">
        <v>147</v>
      </c>
      <c r="B149">
        <v>2.45469866</v>
      </c>
      <c r="C149">
        <v>2.423560948</v>
      </c>
      <c r="D149">
        <v>2.3797717459999999</v>
      </c>
      <c r="E149">
        <v>2.3029128019999998</v>
      </c>
      <c r="F149">
        <v>2.3972959409999999</v>
      </c>
      <c r="G149">
        <v>2.4377217099999999</v>
      </c>
      <c r="H149">
        <v>2.3812174179999999</v>
      </c>
      <c r="I149">
        <v>2.3295544559999999</v>
      </c>
    </row>
    <row r="150" spans="1:9">
      <c r="A150" t="s">
        <v>148</v>
      </c>
      <c r="B150">
        <v>2.2031654920000001</v>
      </c>
      <c r="C150">
        <v>2.2996323099999998</v>
      </c>
      <c r="D150">
        <v>2.4411654930000002</v>
      </c>
      <c r="E150">
        <v>2.3056358330000002</v>
      </c>
      <c r="F150">
        <v>2.4843561169999999</v>
      </c>
      <c r="G150">
        <v>2.5529581650000002</v>
      </c>
      <c r="H150">
        <v>2.5412883019999999</v>
      </c>
      <c r="I150">
        <v>2.466795549</v>
      </c>
    </row>
    <row r="151" spans="1:9">
      <c r="A151" t="s">
        <v>149</v>
      </c>
      <c r="B151">
        <v>2.0143757400000002</v>
      </c>
      <c r="C151">
        <v>2.2373066150000001</v>
      </c>
      <c r="D151">
        <v>2.4404207050000002</v>
      </c>
      <c r="E151">
        <v>2.5376353730000001</v>
      </c>
      <c r="F151">
        <v>2.4743076409999998</v>
      </c>
      <c r="G151">
        <v>2.536445638</v>
      </c>
      <c r="H151">
        <v>2.5320078320000001</v>
      </c>
      <c r="I151">
        <v>2.4693923340000001</v>
      </c>
    </row>
    <row r="152" spans="1:9">
      <c r="A152" t="s">
        <v>150</v>
      </c>
      <c r="B152">
        <v>1.8885766770000001</v>
      </c>
      <c r="C152">
        <v>2.0510228260000001</v>
      </c>
      <c r="D152">
        <v>2.2584184110000001</v>
      </c>
      <c r="E152">
        <v>2.4793461730000002</v>
      </c>
      <c r="F152">
        <v>2.4198490110000002</v>
      </c>
      <c r="G152">
        <v>2.4620981799999999</v>
      </c>
      <c r="H152">
        <v>2.4735534330000002</v>
      </c>
      <c r="I152">
        <v>2.4107371930000001</v>
      </c>
    </row>
    <row r="153" spans="1:9">
      <c r="A153" t="s">
        <v>151</v>
      </c>
      <c r="B153">
        <v>1.8885766770000001</v>
      </c>
      <c r="C153">
        <v>2.0510228260000001</v>
      </c>
      <c r="D153">
        <v>2.2584184110000001</v>
      </c>
      <c r="E153">
        <v>2.4793461730000002</v>
      </c>
      <c r="F153">
        <v>2.2955579510000002</v>
      </c>
      <c r="G153">
        <v>2.379416097</v>
      </c>
      <c r="H153">
        <v>2.4067377419999998</v>
      </c>
      <c r="I153">
        <v>2.355048129</v>
      </c>
    </row>
    <row r="154" spans="1:9">
      <c r="A154" t="s">
        <v>152</v>
      </c>
      <c r="B154">
        <v>2.140386152</v>
      </c>
      <c r="C154">
        <v>2.0510228260000001</v>
      </c>
      <c r="D154">
        <v>2.1369911140000002</v>
      </c>
      <c r="E154">
        <v>2.2458480889999999</v>
      </c>
      <c r="F154">
        <v>2.2812349219999999</v>
      </c>
      <c r="G154">
        <v>2.3523757949999999</v>
      </c>
      <c r="H154">
        <v>2.3264571589999998</v>
      </c>
      <c r="I154">
        <v>2.2422441119999998</v>
      </c>
    </row>
    <row r="155" spans="1:9">
      <c r="A155" t="s">
        <v>153</v>
      </c>
      <c r="B155">
        <v>2.0775972149999999</v>
      </c>
      <c r="C155">
        <v>2.0516600060000001</v>
      </c>
      <c r="D155">
        <v>2.1382971030000002</v>
      </c>
      <c r="E155">
        <v>2.365459344</v>
      </c>
      <c r="F155">
        <v>2.2308780000000001</v>
      </c>
      <c r="G155">
        <v>2.3389441020000001</v>
      </c>
      <c r="H155">
        <v>2.3599310180000002</v>
      </c>
      <c r="I155">
        <v>2.308130357</v>
      </c>
    </row>
    <row r="156" spans="1:9">
      <c r="A156" t="s">
        <v>154</v>
      </c>
      <c r="B156">
        <v>2.140835279</v>
      </c>
      <c r="C156">
        <v>2.1146534379999999</v>
      </c>
      <c r="D156">
        <v>2.1396037539999999</v>
      </c>
      <c r="E156">
        <v>2.485213838</v>
      </c>
      <c r="F156">
        <v>2.4257425179999998</v>
      </c>
      <c r="G156">
        <v>2.4979257960000001</v>
      </c>
      <c r="H156">
        <v>2.468104114</v>
      </c>
      <c r="I156">
        <v>2.4277459029999999</v>
      </c>
    </row>
    <row r="157" spans="1:9">
      <c r="A157" t="s">
        <v>155</v>
      </c>
      <c r="B157">
        <v>2.2036281459999998</v>
      </c>
      <c r="C157">
        <v>2.300347125</v>
      </c>
      <c r="D157">
        <v>2.3212282019999999</v>
      </c>
      <c r="E157">
        <v>2.483744089</v>
      </c>
      <c r="F157">
        <v>2.5316212490000001</v>
      </c>
      <c r="G157">
        <v>2.6130088690000002</v>
      </c>
      <c r="H157">
        <v>2.541482802</v>
      </c>
      <c r="I157">
        <v>2.5234885710000001</v>
      </c>
    </row>
    <row r="158" spans="1:9">
      <c r="A158" t="s">
        <v>156</v>
      </c>
      <c r="B158">
        <v>2.2036281459999998</v>
      </c>
      <c r="C158">
        <v>2.300347125</v>
      </c>
      <c r="D158">
        <v>2.3212282019999999</v>
      </c>
      <c r="E158">
        <v>2.483744089</v>
      </c>
      <c r="F158">
        <v>2.72431782</v>
      </c>
      <c r="G158">
        <v>2.7836041819999999</v>
      </c>
      <c r="H158">
        <v>2.753004239</v>
      </c>
      <c r="I158">
        <v>2.7344528420000001</v>
      </c>
    </row>
    <row r="159" spans="1:9">
      <c r="A159" t="s">
        <v>157</v>
      </c>
      <c r="B159">
        <v>2.5187628530000001</v>
      </c>
      <c r="C159">
        <v>2.5498275970000002</v>
      </c>
      <c r="D159">
        <v>2.6286688119999999</v>
      </c>
      <c r="E159">
        <v>2.7835793459999998</v>
      </c>
      <c r="F159">
        <v>2.920421862</v>
      </c>
      <c r="G159">
        <v>2.9856248139999999</v>
      </c>
      <c r="H159">
        <v>2.960696709</v>
      </c>
      <c r="I159">
        <v>2.9323750980000001</v>
      </c>
    </row>
    <row r="160" spans="1:9">
      <c r="A160" t="s">
        <v>158</v>
      </c>
      <c r="B160">
        <v>2.8333846810000001</v>
      </c>
      <c r="C160">
        <v>2.9225217940000001</v>
      </c>
      <c r="D160">
        <v>2.8732051269999999</v>
      </c>
      <c r="E160">
        <v>3.195382731</v>
      </c>
      <c r="F160">
        <v>3.144955639</v>
      </c>
      <c r="G160">
        <v>3.212062338</v>
      </c>
      <c r="H160">
        <v>3.1776489780000001</v>
      </c>
      <c r="I160">
        <v>3.1499530130000002</v>
      </c>
    </row>
    <row r="161" spans="1:9">
      <c r="A161" t="s">
        <v>159</v>
      </c>
      <c r="B161">
        <v>2.5812572010000001</v>
      </c>
      <c r="C161">
        <v>2.7977232320000001</v>
      </c>
      <c r="D161">
        <v>2.9329939719999998</v>
      </c>
      <c r="E161">
        <v>2.7267694269999998</v>
      </c>
      <c r="F161">
        <v>3.3278615619999998</v>
      </c>
      <c r="G161">
        <v>3.3617510560000001</v>
      </c>
      <c r="H161">
        <v>3.3499843230000002</v>
      </c>
      <c r="I161">
        <v>3.3087341229999998</v>
      </c>
    </row>
    <row r="162" spans="1:9">
      <c r="A162" t="s">
        <v>160</v>
      </c>
      <c r="B162">
        <v>2.3929501530000001</v>
      </c>
      <c r="C162">
        <v>2.4258222900000002</v>
      </c>
      <c r="D162">
        <v>2.8740833050000001</v>
      </c>
      <c r="E162">
        <v>3.0223042859999998</v>
      </c>
      <c r="F162">
        <v>2.8476700639999999</v>
      </c>
      <c r="G162">
        <v>2.8514511310000001</v>
      </c>
      <c r="H162">
        <v>2.7716921010000002</v>
      </c>
      <c r="I162">
        <v>2.6478098779999999</v>
      </c>
    </row>
    <row r="163" spans="1:9">
      <c r="A163" t="s">
        <v>161</v>
      </c>
      <c r="B163">
        <v>2.0152215930000001</v>
      </c>
      <c r="C163">
        <v>2.3024945809999999</v>
      </c>
      <c r="D163">
        <v>2.570285401</v>
      </c>
      <c r="E163">
        <v>2.7885341989999999</v>
      </c>
      <c r="F163">
        <v>2.7656870769999999</v>
      </c>
      <c r="G163">
        <v>2.7874867189999999</v>
      </c>
      <c r="H163">
        <v>2.7997911690000001</v>
      </c>
      <c r="I163">
        <v>2.705751003</v>
      </c>
    </row>
    <row r="164" spans="1:9">
      <c r="A164" t="s">
        <v>162</v>
      </c>
      <c r="B164">
        <v>1.8263417239999999</v>
      </c>
      <c r="C164">
        <v>2.178373712</v>
      </c>
      <c r="D164">
        <v>2.265331813</v>
      </c>
      <c r="E164">
        <v>2.6112965529999999</v>
      </c>
      <c r="F164">
        <v>2.540944563</v>
      </c>
      <c r="G164">
        <v>2.5534473700000002</v>
      </c>
      <c r="H164">
        <v>2.529975474</v>
      </c>
      <c r="I164">
        <v>2.5065301729999998</v>
      </c>
    </row>
    <row r="165" spans="1:9">
      <c r="A165" t="s">
        <v>163</v>
      </c>
      <c r="B165">
        <v>2.0784692040000001</v>
      </c>
      <c r="C165">
        <v>2.3656449159999999</v>
      </c>
      <c r="D165">
        <v>2.3885160050000001</v>
      </c>
      <c r="E165">
        <v>2.5542163470000001</v>
      </c>
      <c r="F165">
        <v>2.6267215030000002</v>
      </c>
      <c r="G165">
        <v>2.637593662</v>
      </c>
      <c r="H165">
        <v>2.566932988</v>
      </c>
      <c r="I165">
        <v>2.5489148089999998</v>
      </c>
    </row>
    <row r="166" spans="1:9">
      <c r="A166" t="s">
        <v>164</v>
      </c>
      <c r="B166">
        <v>2.078687741</v>
      </c>
      <c r="C166">
        <v>2.3039282810000001</v>
      </c>
      <c r="D166">
        <v>2.3283400539999999</v>
      </c>
      <c r="E166">
        <v>2.4970347550000001</v>
      </c>
      <c r="F166">
        <v>2.5962840250000001</v>
      </c>
      <c r="G166">
        <v>2.6266372809999998</v>
      </c>
      <c r="H166">
        <v>2.5250252820000001</v>
      </c>
      <c r="I166">
        <v>2.5125456150000001</v>
      </c>
    </row>
    <row r="167" spans="1:9">
      <c r="A167" t="s">
        <v>165</v>
      </c>
      <c r="B167">
        <v>2.078687741</v>
      </c>
      <c r="C167">
        <v>2.3039282810000001</v>
      </c>
      <c r="D167">
        <v>2.3283400539999999</v>
      </c>
      <c r="E167">
        <v>2.5542163470000001</v>
      </c>
      <c r="F167">
        <v>2.5257803619999999</v>
      </c>
      <c r="G167">
        <v>2.5877987550000001</v>
      </c>
      <c r="H167">
        <v>2.4966206880000001</v>
      </c>
      <c r="I167">
        <v>2.437210447</v>
      </c>
    </row>
    <row r="168" spans="1:9">
      <c r="A168" t="s">
        <v>166</v>
      </c>
      <c r="B168">
        <v>2.078687741</v>
      </c>
      <c r="C168">
        <v>2.3039282810000001</v>
      </c>
      <c r="D168">
        <v>2.3283400539999999</v>
      </c>
      <c r="E168">
        <v>2.5542163470000001</v>
      </c>
      <c r="F168">
        <v>2.4190656879999999</v>
      </c>
      <c r="G168">
        <v>2.4720594829999998</v>
      </c>
      <c r="H168">
        <v>2.4172868279999999</v>
      </c>
      <c r="I168">
        <v>2.325264035</v>
      </c>
    </row>
    <row r="169" spans="1:9">
      <c r="A169" t="s">
        <v>167</v>
      </c>
      <c r="B169">
        <v>2.2045525819999998</v>
      </c>
      <c r="C169">
        <v>2.42808819</v>
      </c>
      <c r="D169">
        <v>2.4501366739999999</v>
      </c>
      <c r="E169">
        <v>2.5542163470000001</v>
      </c>
      <c r="F169">
        <v>2.4806564629999999</v>
      </c>
      <c r="G169">
        <v>2.5226587579999999</v>
      </c>
      <c r="H169">
        <v>2.4366181240000002</v>
      </c>
      <c r="I169">
        <v>2.3712999080000001</v>
      </c>
    </row>
    <row r="170" spans="1:9">
      <c r="A170" t="s">
        <v>168</v>
      </c>
      <c r="B170">
        <v>2.141734509</v>
      </c>
      <c r="C170">
        <v>2.3663813139999998</v>
      </c>
      <c r="D170">
        <v>2.3283400539999999</v>
      </c>
      <c r="E170">
        <v>2.6714439040000002</v>
      </c>
      <c r="F170">
        <v>2.471610225</v>
      </c>
      <c r="G170">
        <v>2.4952316209999998</v>
      </c>
      <c r="H170">
        <v>2.425756459</v>
      </c>
      <c r="I170">
        <v>2.366267509</v>
      </c>
    </row>
    <row r="171" spans="1:9">
      <c r="A171" t="s">
        <v>169</v>
      </c>
      <c r="B171">
        <v>2.078687741</v>
      </c>
      <c r="C171">
        <v>2.2414850080000002</v>
      </c>
      <c r="D171">
        <v>2.205117768</v>
      </c>
      <c r="E171">
        <v>2.551185357</v>
      </c>
      <c r="F171">
        <v>2.3956136219999999</v>
      </c>
      <c r="G171">
        <v>2.3785156559999998</v>
      </c>
      <c r="H171">
        <v>2.2727703670000001</v>
      </c>
      <c r="I171">
        <v>2.2776996610000002</v>
      </c>
    </row>
    <row r="172" spans="1:9">
      <c r="A172" t="s">
        <v>170</v>
      </c>
      <c r="B172">
        <v>2.2044380509999999</v>
      </c>
      <c r="C172">
        <v>2.4277094290000001</v>
      </c>
      <c r="D172">
        <v>2.3269143880000001</v>
      </c>
      <c r="E172">
        <v>2.551185357</v>
      </c>
      <c r="F172">
        <v>2.5970365000000002</v>
      </c>
      <c r="G172">
        <v>2.5672869920000001</v>
      </c>
      <c r="H172">
        <v>2.5588131660000002</v>
      </c>
      <c r="I172">
        <v>2.518837891</v>
      </c>
    </row>
    <row r="173" spans="1:9">
      <c r="A173" t="s">
        <v>171</v>
      </c>
      <c r="B173">
        <v>1.952809088</v>
      </c>
      <c r="C173">
        <v>2.1797303019999998</v>
      </c>
      <c r="D173">
        <v>2.266719385</v>
      </c>
      <c r="E173">
        <v>2.551185357</v>
      </c>
      <c r="F173">
        <v>2.5141792970000001</v>
      </c>
      <c r="G173">
        <v>2.5352282499999998</v>
      </c>
      <c r="H173">
        <v>2.5679287880000001</v>
      </c>
      <c r="I173">
        <v>2.5160378909999999</v>
      </c>
    </row>
    <row r="174" spans="1:9">
      <c r="A174" t="s">
        <v>172</v>
      </c>
      <c r="B174">
        <v>2.1415098210000001</v>
      </c>
      <c r="C174">
        <v>2.3032114080000001</v>
      </c>
      <c r="D174">
        <v>2.3870549419999998</v>
      </c>
      <c r="E174">
        <v>2.7786429909999999</v>
      </c>
      <c r="F174">
        <v>2.8671757950000001</v>
      </c>
      <c r="G174">
        <v>2.8463503910000001</v>
      </c>
      <c r="H174">
        <v>2.9114161680000001</v>
      </c>
      <c r="I174">
        <v>2.9443512740000002</v>
      </c>
    </row>
    <row r="175" spans="1:9">
      <c r="A175" t="s">
        <v>173</v>
      </c>
      <c r="B175">
        <v>2.141734509</v>
      </c>
      <c r="C175">
        <v>2.3039282810000001</v>
      </c>
      <c r="D175">
        <v>2.205117768</v>
      </c>
      <c r="E175">
        <v>2.5481615519999998</v>
      </c>
      <c r="F175">
        <v>2.635432765</v>
      </c>
      <c r="G175">
        <v>2.6597916540000002</v>
      </c>
      <c r="H175">
        <v>2.7081577710000002</v>
      </c>
      <c r="I175">
        <v>2.736698488</v>
      </c>
    </row>
    <row r="176" spans="1:9">
      <c r="A176" t="s">
        <v>174</v>
      </c>
      <c r="B176">
        <v>2.2047852649999999</v>
      </c>
      <c r="C176">
        <v>2.3975615709999998</v>
      </c>
      <c r="D176">
        <v>2.3283400539999999</v>
      </c>
      <c r="E176">
        <v>2.7551386029999998</v>
      </c>
      <c r="F176">
        <v>2.7167606019999999</v>
      </c>
      <c r="G176">
        <v>2.7380457900000001</v>
      </c>
      <c r="H176">
        <v>2.7616869980000001</v>
      </c>
      <c r="I176">
        <v>2.714837073</v>
      </c>
    </row>
    <row r="177" spans="1:9">
      <c r="A177" t="s">
        <v>175</v>
      </c>
      <c r="B177">
        <v>2.4567597440000002</v>
      </c>
      <c r="C177">
        <v>2.5530040089999999</v>
      </c>
      <c r="D177">
        <v>2.5710723600000001</v>
      </c>
      <c r="E177">
        <v>2.7251539220000001</v>
      </c>
      <c r="F177">
        <v>2.8018991180000001</v>
      </c>
      <c r="G177">
        <v>2.821162444</v>
      </c>
      <c r="H177">
        <v>2.786209237</v>
      </c>
      <c r="I177">
        <v>2.713099514</v>
      </c>
    </row>
    <row r="178" spans="1:9">
      <c r="A178" t="s">
        <v>176</v>
      </c>
      <c r="B178">
        <v>2.3939546869999999</v>
      </c>
      <c r="C178">
        <v>2.4288441000000001</v>
      </c>
      <c r="D178">
        <v>2.3885160050000001</v>
      </c>
      <c r="E178">
        <v>2.8419706549999999</v>
      </c>
      <c r="F178">
        <v>2.787445269</v>
      </c>
      <c r="G178">
        <v>2.788389853</v>
      </c>
      <c r="H178">
        <v>2.754110754</v>
      </c>
      <c r="I178">
        <v>2.6599826339999999</v>
      </c>
    </row>
    <row r="179" spans="1:9">
      <c r="A179" t="s">
        <v>177</v>
      </c>
      <c r="B179">
        <v>2.268076035</v>
      </c>
      <c r="C179">
        <v>2.367117709</v>
      </c>
      <c r="D179">
        <v>2.5117764089999999</v>
      </c>
      <c r="E179">
        <v>2.6682756520000002</v>
      </c>
      <c r="F179">
        <v>2.8067149090000001</v>
      </c>
      <c r="G179">
        <v>2.7853348649999998</v>
      </c>
      <c r="H179">
        <v>2.8343951170000001</v>
      </c>
      <c r="I179">
        <v>2.7266682219999998</v>
      </c>
    </row>
    <row r="180" spans="1:9">
      <c r="A180" t="s">
        <v>178</v>
      </c>
      <c r="B180">
        <v>2.1421837180000001</v>
      </c>
      <c r="C180">
        <v>2.2428817080000001</v>
      </c>
      <c r="D180">
        <v>2.3899797889999999</v>
      </c>
      <c r="E180">
        <v>2.492588756</v>
      </c>
      <c r="F180">
        <v>2.659858147</v>
      </c>
      <c r="G180">
        <v>2.6480147889999999</v>
      </c>
      <c r="H180">
        <v>2.5970109560000001</v>
      </c>
      <c r="I180">
        <v>2.5294400650000002</v>
      </c>
    </row>
    <row r="181" spans="1:9">
      <c r="A181" t="s">
        <v>179</v>
      </c>
      <c r="B181">
        <v>2.1424091619999999</v>
      </c>
      <c r="C181">
        <v>2.2435801689999999</v>
      </c>
      <c r="D181">
        <v>2.3297683999999999</v>
      </c>
      <c r="E181">
        <v>2.4354036429999999</v>
      </c>
      <c r="F181">
        <v>2.824963044</v>
      </c>
      <c r="G181">
        <v>2.8445041940000002</v>
      </c>
      <c r="H181">
        <v>2.8335723929999999</v>
      </c>
      <c r="I181">
        <v>2.7675626169999998</v>
      </c>
    </row>
    <row r="182" spans="1:9">
      <c r="A182" t="s">
        <v>180</v>
      </c>
      <c r="B182">
        <v>2.3316294750000002</v>
      </c>
      <c r="C182">
        <v>2.306441924</v>
      </c>
      <c r="D182">
        <v>2.4531423509999999</v>
      </c>
      <c r="E182">
        <v>2.6128473030000001</v>
      </c>
      <c r="F182">
        <v>2.712168181</v>
      </c>
      <c r="G182">
        <v>2.7100175609999999</v>
      </c>
      <c r="H182">
        <v>2.7316340490000002</v>
      </c>
      <c r="I182">
        <v>2.6667321820000001</v>
      </c>
    </row>
    <row r="183" spans="1:9">
      <c r="A183" t="s">
        <v>181</v>
      </c>
      <c r="B183">
        <v>2.457792655</v>
      </c>
      <c r="C183">
        <v>2.4940345750000001</v>
      </c>
      <c r="D183">
        <v>2.6383471200000002</v>
      </c>
      <c r="E183">
        <v>2.7332506460000001</v>
      </c>
      <c r="F183">
        <v>2.854595191</v>
      </c>
      <c r="G183">
        <v>2.8319806359999999</v>
      </c>
      <c r="H183">
        <v>2.760052714</v>
      </c>
      <c r="I183">
        <v>2.675387154</v>
      </c>
    </row>
    <row r="184" spans="1:9">
      <c r="A184" t="s">
        <v>182</v>
      </c>
      <c r="B184">
        <v>2.2690287530000002</v>
      </c>
      <c r="C184">
        <v>2.3700709600000001</v>
      </c>
      <c r="D184">
        <v>2.3958528889999999</v>
      </c>
      <c r="E184">
        <v>2.5014975960000001</v>
      </c>
      <c r="F184">
        <v>2.8496280139999999</v>
      </c>
      <c r="G184">
        <v>2.849899025</v>
      </c>
      <c r="H184">
        <v>2.8089057749999999</v>
      </c>
      <c r="I184">
        <v>2.6793356419999999</v>
      </c>
    </row>
    <row r="185" spans="1:9">
      <c r="A185" t="s">
        <v>183</v>
      </c>
      <c r="B185">
        <v>2.2690287530000002</v>
      </c>
      <c r="C185">
        <v>2.3700709600000001</v>
      </c>
      <c r="D185">
        <v>2.5797580670000002</v>
      </c>
      <c r="E185">
        <v>2.6793985029999998</v>
      </c>
      <c r="F185">
        <v>2.8143314899999998</v>
      </c>
      <c r="G185">
        <v>2.8118949359999998</v>
      </c>
      <c r="H185">
        <v>2.6606127220000002</v>
      </c>
      <c r="I185">
        <v>2.5570601630000001</v>
      </c>
    </row>
    <row r="186" spans="1:9">
      <c r="A186" t="s">
        <v>184</v>
      </c>
      <c r="B186">
        <v>2.2060582169999998</v>
      </c>
      <c r="C186">
        <v>2.307880731</v>
      </c>
      <c r="D186">
        <v>2.3333446100000002</v>
      </c>
      <c r="E186">
        <v>2.6730308530000002</v>
      </c>
      <c r="F186">
        <v>2.7763915890000002</v>
      </c>
      <c r="G186">
        <v>2.7633561289999999</v>
      </c>
      <c r="H186">
        <v>2.7647375809999999</v>
      </c>
      <c r="I186">
        <v>2.695020693</v>
      </c>
    </row>
    <row r="187" spans="1:9">
      <c r="A187" t="s">
        <v>185</v>
      </c>
      <c r="B187">
        <v>2.3321193230000001</v>
      </c>
      <c r="C187">
        <v>2.494423507</v>
      </c>
      <c r="D187">
        <v>2.5773835909999998</v>
      </c>
      <c r="E187">
        <v>2.7316274539999998</v>
      </c>
      <c r="F187">
        <v>3.0375265040000001</v>
      </c>
      <c r="G187">
        <v>3.1426796129999999</v>
      </c>
      <c r="H187">
        <v>3.1508846450000001</v>
      </c>
      <c r="I187">
        <v>3.0939794169999999</v>
      </c>
    </row>
    <row r="188" spans="1:9">
      <c r="A188" t="s">
        <v>186</v>
      </c>
      <c r="B188">
        <v>2.7103011050000001</v>
      </c>
      <c r="C188">
        <v>2.7438668960000001</v>
      </c>
      <c r="D188">
        <v>2.8228562959999999</v>
      </c>
      <c r="E188">
        <v>2.907211524</v>
      </c>
      <c r="F188">
        <v>3.1013311890000002</v>
      </c>
      <c r="G188">
        <v>3.1269237439999999</v>
      </c>
      <c r="H188">
        <v>3.0358073669999999</v>
      </c>
      <c r="I188">
        <v>3.0374960190000002</v>
      </c>
    </row>
    <row r="189" spans="1:9">
      <c r="A189" t="s">
        <v>187</v>
      </c>
      <c r="B189">
        <v>2.8363610669999999</v>
      </c>
      <c r="C189">
        <v>2.8685896139999998</v>
      </c>
      <c r="D189">
        <v>3.0065010820000002</v>
      </c>
      <c r="E189">
        <v>3.0843163200000001</v>
      </c>
      <c r="F189">
        <v>3.3057032639999999</v>
      </c>
      <c r="G189">
        <v>3.3608274960000002</v>
      </c>
      <c r="H189">
        <v>3.2537585980000001</v>
      </c>
      <c r="I189">
        <v>3.2106682489999998</v>
      </c>
    </row>
    <row r="190" spans="1:9">
      <c r="A190" t="s">
        <v>188</v>
      </c>
      <c r="B190">
        <v>3.2769707540000002</v>
      </c>
      <c r="C190">
        <v>3.3653814130000002</v>
      </c>
      <c r="D190">
        <v>3.4312837589999998</v>
      </c>
      <c r="E190">
        <v>3.6043506700000001</v>
      </c>
      <c r="F190">
        <v>3.8535701329999998</v>
      </c>
      <c r="G190">
        <v>3.8424830189999999</v>
      </c>
      <c r="H190">
        <v>3.6715587369999998</v>
      </c>
      <c r="I190">
        <v>3.5980384270000001</v>
      </c>
    </row>
    <row r="191" spans="1:9">
      <c r="A191" t="s">
        <v>189</v>
      </c>
      <c r="B191">
        <v>3.1510985279999999</v>
      </c>
      <c r="C191">
        <v>3.3033169</v>
      </c>
      <c r="D191">
        <v>3.493095608</v>
      </c>
      <c r="E191">
        <v>3.6064818870000002</v>
      </c>
      <c r="F191">
        <v>3.7890783940000001</v>
      </c>
      <c r="G191">
        <v>3.6126255939999998</v>
      </c>
      <c r="H191">
        <v>3.4194451809999999</v>
      </c>
      <c r="I191">
        <v>3.3371827519999999</v>
      </c>
    </row>
    <row r="192" spans="1:9">
      <c r="A192" t="s">
        <v>190</v>
      </c>
      <c r="B192">
        <v>3.1509343400000001</v>
      </c>
      <c r="C192">
        <v>3.426902911</v>
      </c>
      <c r="D192">
        <v>3.6134515500000002</v>
      </c>
      <c r="E192">
        <v>3.6645342200000002</v>
      </c>
      <c r="F192">
        <v>4.0544506010000001</v>
      </c>
      <c r="G192">
        <v>3.9503587329999998</v>
      </c>
      <c r="H192">
        <v>3.663445528</v>
      </c>
      <c r="I192">
        <v>3.6047586040000001</v>
      </c>
    </row>
    <row r="193" spans="1:9">
      <c r="A193" t="s">
        <v>191</v>
      </c>
      <c r="B193">
        <v>3.3402531510000002</v>
      </c>
      <c r="C193">
        <v>3.4285065019999998</v>
      </c>
      <c r="D193">
        <v>3.5549256890000001</v>
      </c>
      <c r="E193">
        <v>3.7872511179999999</v>
      </c>
      <c r="F193">
        <v>4.0838484670000001</v>
      </c>
      <c r="G193">
        <v>3.920328719</v>
      </c>
      <c r="H193">
        <v>3.6680768609999999</v>
      </c>
      <c r="I193">
        <v>3.5650319349999999</v>
      </c>
    </row>
    <row r="194" spans="1:9">
      <c r="A194" t="s">
        <v>192</v>
      </c>
      <c r="B194">
        <v>3.4661179930000001</v>
      </c>
      <c r="C194">
        <v>3.615236667</v>
      </c>
      <c r="D194">
        <v>3.8596286630000001</v>
      </c>
      <c r="E194">
        <v>4.0795873020000002</v>
      </c>
      <c r="F194">
        <v>4.2727098640000003</v>
      </c>
      <c r="G194">
        <v>4.1609867109999996</v>
      </c>
      <c r="H194">
        <v>3.8662003920000001</v>
      </c>
      <c r="I194">
        <v>3.7639639539999998</v>
      </c>
    </row>
    <row r="195" spans="1:9">
      <c r="A195" t="s">
        <v>193</v>
      </c>
      <c r="B195">
        <v>3.087995925</v>
      </c>
      <c r="C195">
        <v>3.3653814130000002</v>
      </c>
      <c r="D195">
        <v>3.5527471519999998</v>
      </c>
      <c r="E195">
        <v>3.9010147040000001</v>
      </c>
      <c r="F195">
        <v>4.400806964</v>
      </c>
      <c r="G195">
        <v>4.3344793319999999</v>
      </c>
      <c r="H195">
        <v>4.1414878750000002</v>
      </c>
      <c r="I195">
        <v>4.0345506709999999</v>
      </c>
    </row>
    <row r="196" spans="1:9">
      <c r="A196" t="s">
        <v>194</v>
      </c>
      <c r="B196">
        <v>3.403008061</v>
      </c>
      <c r="C196">
        <v>3.4900277370000001</v>
      </c>
      <c r="D196">
        <v>3.7977793869999998</v>
      </c>
      <c r="E196">
        <v>4.0771763620000003</v>
      </c>
      <c r="F196">
        <v>4.260558101</v>
      </c>
      <c r="G196">
        <v>4.249931761</v>
      </c>
      <c r="H196">
        <v>4.1008395120000003</v>
      </c>
      <c r="I196">
        <v>3.9831112559999999</v>
      </c>
    </row>
    <row r="197" spans="1:9">
      <c r="A197" t="s">
        <v>195</v>
      </c>
      <c r="B197">
        <v>3.5915931169999999</v>
      </c>
      <c r="C197">
        <v>3.6135468070000001</v>
      </c>
      <c r="D197">
        <v>3.7954538439999999</v>
      </c>
      <c r="E197">
        <v>4.0699596610000004</v>
      </c>
      <c r="F197">
        <v>4.2712456469999998</v>
      </c>
      <c r="G197">
        <v>4.2396308730000003</v>
      </c>
      <c r="H197">
        <v>4.0696515179999997</v>
      </c>
      <c r="I197">
        <v>3.9630584120000001</v>
      </c>
    </row>
    <row r="198" spans="1:9">
      <c r="A198" t="s">
        <v>196</v>
      </c>
      <c r="B198">
        <v>4.0323487739999999</v>
      </c>
      <c r="C198">
        <v>4.4816102400000002</v>
      </c>
      <c r="D198">
        <v>4.8251565249999997</v>
      </c>
      <c r="E198">
        <v>5.1591605659999997</v>
      </c>
      <c r="F198">
        <v>5.4415618180000003</v>
      </c>
      <c r="G198">
        <v>5.0733524579999996</v>
      </c>
      <c r="H198">
        <v>4.7488763169999997</v>
      </c>
      <c r="I198">
        <v>4.5370738920000004</v>
      </c>
    </row>
    <row r="199" spans="1:9">
      <c r="A199" t="s">
        <v>197</v>
      </c>
      <c r="B199">
        <v>3.2771432200000001</v>
      </c>
      <c r="C199">
        <v>3.7375712509999999</v>
      </c>
      <c r="D199">
        <v>4.5218103909999998</v>
      </c>
      <c r="E199">
        <v>4.8100790240000002</v>
      </c>
      <c r="F199">
        <v>4.9617042930000004</v>
      </c>
      <c r="G199">
        <v>4.7786051399999998</v>
      </c>
      <c r="H199">
        <v>4.5682983869999996</v>
      </c>
      <c r="I199">
        <v>4.3623449890000003</v>
      </c>
    </row>
    <row r="200" spans="1:9">
      <c r="A200" t="s">
        <v>198</v>
      </c>
      <c r="B200">
        <v>3.403008061</v>
      </c>
      <c r="C200">
        <v>3.6755640409999999</v>
      </c>
      <c r="D200">
        <v>4.2181930230000004</v>
      </c>
      <c r="E200">
        <v>4.6982293840000002</v>
      </c>
      <c r="F200">
        <v>4.8377918729999996</v>
      </c>
      <c r="G200">
        <v>4.6247894059999997</v>
      </c>
      <c r="H200">
        <v>4.3301091290000002</v>
      </c>
      <c r="I200">
        <v>4.1559514819999999</v>
      </c>
    </row>
    <row r="201" spans="1:9">
      <c r="A201" t="s">
        <v>199</v>
      </c>
      <c r="B201">
        <v>3.3399017849999999</v>
      </c>
      <c r="C201">
        <v>3.7369890539999999</v>
      </c>
      <c r="D201">
        <v>4.2773695109999998</v>
      </c>
      <c r="E201">
        <v>4.747219554</v>
      </c>
      <c r="F201">
        <v>5.0588724789999997</v>
      </c>
      <c r="G201">
        <v>4.7917972300000002</v>
      </c>
      <c r="H201">
        <v>4.4693486780000002</v>
      </c>
      <c r="I201">
        <v>4.2670100680000003</v>
      </c>
    </row>
    <row r="202" spans="1:9">
      <c r="A202" t="s">
        <v>200</v>
      </c>
      <c r="B202">
        <v>3.3399017849999999</v>
      </c>
      <c r="C202">
        <v>3.7369890539999999</v>
      </c>
      <c r="D202">
        <v>4.2773695109999998</v>
      </c>
      <c r="E202">
        <v>4.747219554</v>
      </c>
      <c r="F202">
        <v>4.8755247649999998</v>
      </c>
      <c r="G202">
        <v>4.4998501109999998</v>
      </c>
      <c r="H202">
        <v>4.1720160179999999</v>
      </c>
      <c r="I202">
        <v>4.1030406609999996</v>
      </c>
    </row>
    <row r="203" spans="1:9">
      <c r="A203" t="s">
        <v>201</v>
      </c>
      <c r="B203">
        <v>3.2769707540000002</v>
      </c>
      <c r="C203">
        <v>3.3643332469999998</v>
      </c>
      <c r="D203">
        <v>3.8513699720000001</v>
      </c>
      <c r="E203">
        <v>4.2232979630000003</v>
      </c>
      <c r="F203">
        <v>4.3446118269999996</v>
      </c>
      <c r="G203">
        <v>4.07071395</v>
      </c>
      <c r="H203">
        <v>3.8679353760000001</v>
      </c>
      <c r="I203">
        <v>3.7082593400000001</v>
      </c>
    </row>
    <row r="204" spans="1:9">
      <c r="A204" t="s">
        <v>202</v>
      </c>
      <c r="B204">
        <v>3.3400770309999999</v>
      </c>
      <c r="C204">
        <v>3.3028011180000001</v>
      </c>
      <c r="D204">
        <v>3.6101351770000001</v>
      </c>
      <c r="E204">
        <v>3.9956384260000002</v>
      </c>
      <c r="F204">
        <v>4.1700103930000001</v>
      </c>
      <c r="G204">
        <v>3.9362837430000002</v>
      </c>
      <c r="H204">
        <v>3.7321550760000002</v>
      </c>
      <c r="I204">
        <v>3.5499051100000001</v>
      </c>
    </row>
    <row r="205" spans="1:9">
      <c r="A205" t="s">
        <v>203</v>
      </c>
      <c r="B205">
        <v>3.780326665</v>
      </c>
      <c r="C205">
        <v>3.7352440589999998</v>
      </c>
      <c r="D205">
        <v>4.0316998469999996</v>
      </c>
      <c r="E205">
        <v>4.3928812539999997</v>
      </c>
      <c r="F205">
        <v>4.4459442129999998</v>
      </c>
      <c r="G205">
        <v>4.2737785949999996</v>
      </c>
      <c r="H205">
        <v>4.0154930750000002</v>
      </c>
      <c r="I205">
        <v>3.889785029</v>
      </c>
    </row>
    <row r="206" spans="1:9">
      <c r="A206" t="s">
        <v>204</v>
      </c>
      <c r="B206">
        <v>3.5288607820000002</v>
      </c>
      <c r="C206">
        <v>3.6738474719999998</v>
      </c>
      <c r="D206">
        <v>3.972429268</v>
      </c>
      <c r="E206">
        <v>4.3381030210000002</v>
      </c>
      <c r="F206">
        <v>4.3875631400000001</v>
      </c>
      <c r="G206">
        <v>4.1357589590000003</v>
      </c>
      <c r="H206">
        <v>3.9750132319999998</v>
      </c>
      <c r="I206">
        <v>3.859979107</v>
      </c>
    </row>
    <row r="207" spans="1:9">
      <c r="A207" t="s">
        <v>205</v>
      </c>
      <c r="B207">
        <v>3.403008061</v>
      </c>
      <c r="C207">
        <v>3.5498613140000002</v>
      </c>
      <c r="D207">
        <v>3.9131042580000002</v>
      </c>
      <c r="E207">
        <v>4.2857440479999998</v>
      </c>
      <c r="F207">
        <v>4.385407989</v>
      </c>
      <c r="G207">
        <v>4.1677336509999998</v>
      </c>
      <c r="H207">
        <v>3.9634965339999999</v>
      </c>
      <c r="I207">
        <v>3.8473781279999999</v>
      </c>
    </row>
    <row r="208" spans="1:9">
      <c r="A208" t="s">
        <v>206</v>
      </c>
      <c r="B208">
        <v>3.5917815160000002</v>
      </c>
      <c r="C208">
        <v>3.5498613140000002</v>
      </c>
      <c r="D208">
        <v>3.8513699720000001</v>
      </c>
      <c r="E208">
        <v>4.2257770399999997</v>
      </c>
      <c r="F208">
        <v>4.2510427599999998</v>
      </c>
      <c r="G208">
        <v>3.963469753</v>
      </c>
      <c r="H208">
        <v>3.687154354</v>
      </c>
      <c r="I208">
        <v>3.5524922170000002</v>
      </c>
    </row>
    <row r="209" spans="1:9">
      <c r="A209" t="s">
        <v>207</v>
      </c>
      <c r="B209">
        <v>3.4028300140000001</v>
      </c>
      <c r="C209">
        <v>3.5498613140000002</v>
      </c>
      <c r="D209">
        <v>3.9131042580000002</v>
      </c>
      <c r="E209">
        <v>4.1682920210000001</v>
      </c>
      <c r="F209">
        <v>4.3315703040000004</v>
      </c>
      <c r="G209">
        <v>4.0722974340000002</v>
      </c>
      <c r="H209">
        <v>3.8687548170000001</v>
      </c>
      <c r="I209">
        <v>3.708632207</v>
      </c>
    </row>
    <row r="210" spans="1:9">
      <c r="A210" t="s">
        <v>208</v>
      </c>
      <c r="B210">
        <v>3.2769707540000002</v>
      </c>
      <c r="C210">
        <v>3.4258368689999998</v>
      </c>
      <c r="D210">
        <v>3.6696434500000001</v>
      </c>
      <c r="E210">
        <v>4.0532227519999999</v>
      </c>
      <c r="F210">
        <v>4.0717169310000001</v>
      </c>
      <c r="G210">
        <v>3.8458558539999999</v>
      </c>
      <c r="H210">
        <v>3.727763876</v>
      </c>
      <c r="I210">
        <v>3.5998704610000001</v>
      </c>
    </row>
    <row r="211" spans="1:9">
      <c r="A211" t="s">
        <v>209</v>
      </c>
      <c r="B211">
        <v>3.2769707540000002</v>
      </c>
      <c r="C211">
        <v>3.3638096160000002</v>
      </c>
      <c r="D211">
        <v>3.6707656790000001</v>
      </c>
      <c r="E211">
        <v>3.882653232</v>
      </c>
      <c r="F211">
        <v>4.0729408950000003</v>
      </c>
      <c r="G211">
        <v>3.8742457959999999</v>
      </c>
      <c r="H211">
        <v>3.7217711840000001</v>
      </c>
      <c r="I211">
        <v>3.6267947270000001</v>
      </c>
    </row>
    <row r="212" spans="1:9">
      <c r="A212" t="s">
        <v>210</v>
      </c>
      <c r="B212">
        <v>3.3399017849999999</v>
      </c>
      <c r="C212">
        <v>3.4878541040000002</v>
      </c>
      <c r="D212">
        <v>3.8525474709999998</v>
      </c>
      <c r="E212">
        <v>4.1431384639999997</v>
      </c>
      <c r="F212">
        <v>4.2420446250000001</v>
      </c>
      <c r="G212">
        <v>4.0347355650000001</v>
      </c>
      <c r="H212">
        <v>3.81953137</v>
      </c>
      <c r="I212">
        <v>3.7037643120000001</v>
      </c>
    </row>
    <row r="213" spans="1:9">
      <c r="A213" t="s">
        <v>211</v>
      </c>
      <c r="B213">
        <v>3.2761105609999999</v>
      </c>
      <c r="C213">
        <v>3.4247694869999998</v>
      </c>
      <c r="D213">
        <v>3.7896538610000001</v>
      </c>
      <c r="E213">
        <v>4.0532227519999999</v>
      </c>
      <c r="F213">
        <v>4.0911846729999999</v>
      </c>
      <c r="G213">
        <v>3.8146899400000001</v>
      </c>
      <c r="H213">
        <v>3.6338334520000002</v>
      </c>
      <c r="I213">
        <v>3.529901218</v>
      </c>
    </row>
    <row r="214" spans="1:9">
      <c r="A214" t="s">
        <v>212</v>
      </c>
      <c r="B214">
        <v>3.0871860940000002</v>
      </c>
      <c r="C214">
        <v>3.3002313920000002</v>
      </c>
      <c r="D214">
        <v>3.4845533870000001</v>
      </c>
      <c r="E214">
        <v>3.7605439569999999</v>
      </c>
      <c r="F214">
        <v>4.0062875489999996</v>
      </c>
      <c r="G214">
        <v>3.817154677</v>
      </c>
      <c r="H214">
        <v>3.663722377</v>
      </c>
      <c r="I214">
        <v>3.5347184739999999</v>
      </c>
    </row>
    <row r="215" spans="1:9">
      <c r="A215" t="s">
        <v>213</v>
      </c>
      <c r="B215">
        <v>2.834723334</v>
      </c>
      <c r="C215">
        <v>3.7317591910000001</v>
      </c>
      <c r="D215">
        <v>4.1462824449999998</v>
      </c>
      <c r="E215">
        <v>4.3851746030000003</v>
      </c>
      <c r="F215">
        <v>4.2881010379999998</v>
      </c>
      <c r="G215">
        <v>3.9833463230000001</v>
      </c>
      <c r="H215">
        <v>3.7831772579999998</v>
      </c>
      <c r="I215">
        <v>3.669303454</v>
      </c>
    </row>
    <row r="216" spans="1:9">
      <c r="A216" t="s">
        <v>214</v>
      </c>
      <c r="B216">
        <v>3.4017582530000001</v>
      </c>
      <c r="C216">
        <v>3.7340820250000002</v>
      </c>
      <c r="D216">
        <v>4.1500781770000001</v>
      </c>
      <c r="E216">
        <v>4.390309362</v>
      </c>
      <c r="F216">
        <v>4.2344668969999999</v>
      </c>
      <c r="G216">
        <v>3.9603941549999999</v>
      </c>
      <c r="H216">
        <v>3.7171862039999999</v>
      </c>
      <c r="I216">
        <v>3.5601390469999998</v>
      </c>
    </row>
    <row r="217" spans="1:9">
      <c r="A217" t="s">
        <v>215</v>
      </c>
      <c r="B217">
        <v>3.4648441089999999</v>
      </c>
      <c r="C217">
        <v>3.796612911</v>
      </c>
      <c r="D217">
        <v>4.1500781770000001</v>
      </c>
      <c r="E217">
        <v>4.390309362</v>
      </c>
      <c r="F217">
        <v>4.2056902889999996</v>
      </c>
      <c r="G217">
        <v>3.942128834</v>
      </c>
      <c r="H217">
        <v>3.698418534</v>
      </c>
      <c r="I217">
        <v>3.5524946829999999</v>
      </c>
    </row>
    <row r="218" spans="1:9">
      <c r="A218" t="s">
        <v>216</v>
      </c>
      <c r="B218">
        <v>3.4655726360000001</v>
      </c>
      <c r="C218">
        <v>3.7977952959999999</v>
      </c>
      <c r="D218">
        <v>4.272147618</v>
      </c>
      <c r="E218">
        <v>4.2731984220000001</v>
      </c>
      <c r="F218">
        <v>4.0759819589999999</v>
      </c>
      <c r="G218">
        <v>3.883207058</v>
      </c>
      <c r="H218">
        <v>3.6805155859999998</v>
      </c>
      <c r="I218">
        <v>3.5207519459999999</v>
      </c>
    </row>
    <row r="219" spans="1:9">
      <c r="A219" t="s">
        <v>217</v>
      </c>
      <c r="B219">
        <v>3.654699393</v>
      </c>
      <c r="C219">
        <v>3.9848846889999998</v>
      </c>
      <c r="D219">
        <v>4.2734521279999997</v>
      </c>
      <c r="E219">
        <v>4.4501686820000002</v>
      </c>
      <c r="F219">
        <v>4.4320989480000001</v>
      </c>
      <c r="G219">
        <v>4.1547338849999997</v>
      </c>
      <c r="H219">
        <v>3.908891176</v>
      </c>
      <c r="I219">
        <v>3.7507766569999998</v>
      </c>
    </row>
    <row r="220" spans="1:9">
      <c r="A220" t="s">
        <v>218</v>
      </c>
      <c r="B220">
        <v>3.9697419969999999</v>
      </c>
      <c r="C220">
        <v>4.0457044619999998</v>
      </c>
      <c r="D220">
        <v>4.3333515350000003</v>
      </c>
      <c r="E220">
        <v>4.4501686820000002</v>
      </c>
      <c r="F220">
        <v>4.1854531330000002</v>
      </c>
      <c r="G220">
        <v>3.9633837289999998</v>
      </c>
      <c r="H220">
        <v>3.7933546570000001</v>
      </c>
      <c r="I220">
        <v>3.6562772360000002</v>
      </c>
    </row>
    <row r="221" spans="1:9">
      <c r="A221" t="s">
        <v>219</v>
      </c>
      <c r="B221">
        <v>3.7181169820000002</v>
      </c>
      <c r="C221">
        <v>3.86095605</v>
      </c>
      <c r="D221">
        <v>4.0329317969999998</v>
      </c>
      <c r="E221">
        <v>4.2802376100000004</v>
      </c>
      <c r="F221">
        <v>4.1017926500000002</v>
      </c>
      <c r="G221">
        <v>3.8680652929999999</v>
      </c>
      <c r="H221">
        <v>3.7296435149999998</v>
      </c>
      <c r="I221">
        <v>3.6141237080000002</v>
      </c>
    </row>
    <row r="222" spans="1:9">
      <c r="A222" t="s">
        <v>220</v>
      </c>
      <c r="B222">
        <v>3.6545065339999998</v>
      </c>
      <c r="C222">
        <v>3.86095605</v>
      </c>
      <c r="D222">
        <v>4.0329317969999998</v>
      </c>
      <c r="E222">
        <v>4.3406480360000002</v>
      </c>
      <c r="F222">
        <v>4.1492656009999997</v>
      </c>
      <c r="G222">
        <v>3.9865052090000002</v>
      </c>
      <c r="H222">
        <v>3.8685921009999999</v>
      </c>
      <c r="I222">
        <v>3.728672693</v>
      </c>
    </row>
    <row r="223" spans="1:9">
      <c r="A223" t="s">
        <v>221</v>
      </c>
      <c r="B223">
        <v>3.4659362909999998</v>
      </c>
      <c r="C223">
        <v>3.6749909569999999</v>
      </c>
      <c r="D223">
        <v>3.9131042580000002</v>
      </c>
      <c r="E223">
        <v>3.9932916829999998</v>
      </c>
      <c r="F223">
        <v>4.0439012879999998</v>
      </c>
      <c r="G223">
        <v>3.8982715020000001</v>
      </c>
      <c r="H223">
        <v>3.756747421</v>
      </c>
      <c r="I223">
        <v>3.6504292949999999</v>
      </c>
    </row>
    <row r="224" spans="1:9">
      <c r="A224" t="s">
        <v>222</v>
      </c>
      <c r="B224">
        <v>3.465754505</v>
      </c>
      <c r="C224">
        <v>3.798977115</v>
      </c>
      <c r="D224">
        <v>4.034163554</v>
      </c>
      <c r="E224">
        <v>4.1682920210000001</v>
      </c>
      <c r="F224">
        <v>4.198316782</v>
      </c>
      <c r="G224">
        <v>4.0424519820000002</v>
      </c>
      <c r="H224">
        <v>3.9221898789999998</v>
      </c>
      <c r="I224">
        <v>3.7939142590000001</v>
      </c>
    </row>
    <row r="225" spans="1:9">
      <c r="A225" t="s">
        <v>223</v>
      </c>
      <c r="B225">
        <v>4.0948172610000002</v>
      </c>
      <c r="C225">
        <v>4.0462052570000004</v>
      </c>
      <c r="D225">
        <v>4.0934159589999997</v>
      </c>
      <c r="E225">
        <v>4.5074233110000002</v>
      </c>
      <c r="F225">
        <v>4.4879829119999997</v>
      </c>
      <c r="G225">
        <v>4.302178402</v>
      </c>
      <c r="H225">
        <v>4.1508847659999999</v>
      </c>
      <c r="I225">
        <v>4.0344640849999998</v>
      </c>
    </row>
    <row r="226" spans="1:9">
      <c r="A226" t="s">
        <v>224</v>
      </c>
      <c r="B226">
        <v>5.1006327630000001</v>
      </c>
      <c r="C226">
        <v>4.8810324789999999</v>
      </c>
      <c r="D226">
        <v>4.9675765439999999</v>
      </c>
      <c r="E226">
        <v>4.9970993520000002</v>
      </c>
      <c r="F226">
        <v>4.8175184389999997</v>
      </c>
      <c r="G226">
        <v>4.654994791</v>
      </c>
      <c r="H226">
        <v>4.5370564709999996</v>
      </c>
      <c r="I226">
        <v>4.3991485509999997</v>
      </c>
    </row>
    <row r="227" spans="1:9">
      <c r="A227" t="s">
        <v>225</v>
      </c>
      <c r="B227">
        <v>5.7291406780000003</v>
      </c>
      <c r="C227">
        <v>5.5924720920000004</v>
      </c>
      <c r="D227">
        <v>5.7213456410000001</v>
      </c>
      <c r="E227">
        <v>5.7122345120000002</v>
      </c>
      <c r="F227">
        <v>5.4153911340000001</v>
      </c>
      <c r="G227">
        <v>5.1942042810000002</v>
      </c>
      <c r="H227">
        <v>4.9200910809999998</v>
      </c>
      <c r="I227">
        <v>4.7317956719999996</v>
      </c>
    </row>
    <row r="228" spans="1:9">
      <c r="A228" t="s">
        <v>226</v>
      </c>
      <c r="B228">
        <v>5.6663313000000004</v>
      </c>
      <c r="C228">
        <v>5.7158660010000002</v>
      </c>
      <c r="D228">
        <v>5.9030694600000002</v>
      </c>
      <c r="E228">
        <v>5.8854833209999997</v>
      </c>
      <c r="F228">
        <v>5.7409434250000002</v>
      </c>
      <c r="G228">
        <v>5.3861473560000004</v>
      </c>
      <c r="H228">
        <v>5.0820361219999999</v>
      </c>
      <c r="I228">
        <v>4.8956506659999999</v>
      </c>
    </row>
    <row r="229" spans="1:9">
      <c r="A229" t="s">
        <v>227</v>
      </c>
      <c r="B229">
        <v>5.7291406780000003</v>
      </c>
      <c r="C229">
        <v>6.0867634500000003</v>
      </c>
      <c r="D229">
        <v>6.3243211099999996</v>
      </c>
      <c r="E229">
        <v>6.1187142469999998</v>
      </c>
      <c r="F229">
        <v>5.7337967909999996</v>
      </c>
      <c r="G229">
        <v>5.353496711</v>
      </c>
      <c r="H229">
        <v>5.0735562820000002</v>
      </c>
      <c r="I229">
        <v>4.8668628749999998</v>
      </c>
    </row>
    <row r="230" spans="1:9">
      <c r="A230" t="s">
        <v>228</v>
      </c>
      <c r="B230">
        <v>5.9178588689999998</v>
      </c>
      <c r="C230">
        <v>6.2716398529999999</v>
      </c>
      <c r="D230">
        <v>6.3841720239999997</v>
      </c>
      <c r="E230">
        <v>6.178825443</v>
      </c>
      <c r="F230">
        <v>5.7164729830000001</v>
      </c>
      <c r="G230">
        <v>5.2878895950000002</v>
      </c>
      <c r="H230">
        <v>4.9784051189999996</v>
      </c>
      <c r="I230">
        <v>4.7622987779999999</v>
      </c>
    </row>
    <row r="231" spans="1:9">
      <c r="A231" t="s">
        <v>229</v>
      </c>
      <c r="B231">
        <v>5.8562860179999996</v>
      </c>
      <c r="C231">
        <v>6.3381651320000003</v>
      </c>
      <c r="D231">
        <v>6.5157022099999997</v>
      </c>
      <c r="E231">
        <v>6.3705302059999998</v>
      </c>
      <c r="F231">
        <v>5.8625081100000003</v>
      </c>
      <c r="G231">
        <v>5.3833286960000004</v>
      </c>
      <c r="H231">
        <v>5.0435646470000002</v>
      </c>
      <c r="I231">
        <v>4.8282736030000004</v>
      </c>
    </row>
    <row r="232" spans="1:9">
      <c r="A232" t="s">
        <v>230</v>
      </c>
      <c r="B232">
        <v>5.856593191</v>
      </c>
      <c r="C232">
        <v>5.9063879180000001</v>
      </c>
      <c r="D232">
        <v>6.0958690659999997</v>
      </c>
      <c r="E232">
        <v>5.9698882739999997</v>
      </c>
      <c r="F232">
        <v>5.7268162909999996</v>
      </c>
      <c r="G232">
        <v>5.3032731850000001</v>
      </c>
      <c r="H232">
        <v>4.9813291570000002</v>
      </c>
      <c r="I232">
        <v>4.7410837069999996</v>
      </c>
    </row>
    <row r="233" spans="1:9">
      <c r="A233" t="s">
        <v>231</v>
      </c>
      <c r="B233">
        <v>6.0450403010000002</v>
      </c>
      <c r="C233">
        <v>6.2784618959999996</v>
      </c>
      <c r="D233">
        <v>6.3977880750000002</v>
      </c>
      <c r="E233">
        <v>6.2041487030000004</v>
      </c>
      <c r="F233">
        <v>5.9949818260000001</v>
      </c>
      <c r="G233">
        <v>5.5453780469999998</v>
      </c>
      <c r="H233">
        <v>5.1766335769999996</v>
      </c>
      <c r="I233">
        <v>4.9372626830000002</v>
      </c>
    </row>
    <row r="234" spans="1:9">
      <c r="A234" t="s">
        <v>232</v>
      </c>
      <c r="B234">
        <v>6.0450403010000002</v>
      </c>
      <c r="C234">
        <v>6.2158140209999999</v>
      </c>
      <c r="D234">
        <v>6.3997371510000001</v>
      </c>
      <c r="E234">
        <v>6.3779879839999998</v>
      </c>
      <c r="F234">
        <v>5.9505871060000004</v>
      </c>
      <c r="G234">
        <v>5.4799524850000001</v>
      </c>
      <c r="H234">
        <v>5.1502345749999998</v>
      </c>
      <c r="I234">
        <v>4.9237169869999997</v>
      </c>
    </row>
    <row r="235" spans="1:9">
      <c r="A235" t="s">
        <v>233</v>
      </c>
      <c r="B235">
        <v>5.9194120379999999</v>
      </c>
      <c r="C235">
        <v>6.0933859010000004</v>
      </c>
      <c r="D235">
        <v>6.1596536630000003</v>
      </c>
      <c r="E235">
        <v>6.0977265190000001</v>
      </c>
      <c r="F235">
        <v>5.7047225319999999</v>
      </c>
      <c r="G235">
        <v>5.2231963989999999</v>
      </c>
      <c r="H235">
        <v>4.9351355210000003</v>
      </c>
      <c r="I235">
        <v>4.707966645</v>
      </c>
    </row>
    <row r="236" spans="1:9">
      <c r="A236" t="s">
        <v>234</v>
      </c>
      <c r="B236">
        <v>5.66811621</v>
      </c>
      <c r="C236">
        <v>5.7847357170000002</v>
      </c>
      <c r="D236">
        <v>5.7989859959999999</v>
      </c>
      <c r="E236">
        <v>5.6449654220000003</v>
      </c>
      <c r="F236">
        <v>5.2736226510000002</v>
      </c>
      <c r="G236">
        <v>4.8138701580000003</v>
      </c>
      <c r="H236">
        <v>4.4846805940000003</v>
      </c>
      <c r="I236">
        <v>4.2475840849999997</v>
      </c>
    </row>
    <row r="237" spans="1:9">
      <c r="A237" t="s">
        <v>235</v>
      </c>
      <c r="B237">
        <v>5.4167674679999998</v>
      </c>
      <c r="C237">
        <v>5.4758473829999996</v>
      </c>
      <c r="D237">
        <v>5.5598769770000001</v>
      </c>
      <c r="E237">
        <v>5.470078794</v>
      </c>
      <c r="F237">
        <v>5.2591021600000003</v>
      </c>
      <c r="G237">
        <v>4.7960163219999998</v>
      </c>
      <c r="H237">
        <v>4.4540212549999998</v>
      </c>
      <c r="I237">
        <v>4.2166175780000001</v>
      </c>
    </row>
    <row r="238" spans="1:9">
      <c r="A238" t="s">
        <v>236</v>
      </c>
      <c r="B238">
        <v>5.856593191</v>
      </c>
      <c r="C238">
        <v>6.0326132360000004</v>
      </c>
      <c r="D238">
        <v>6.0413459720000002</v>
      </c>
      <c r="E238">
        <v>6.0211535400000002</v>
      </c>
      <c r="F238">
        <v>5.551547072</v>
      </c>
      <c r="G238">
        <v>5.0729536130000001</v>
      </c>
      <c r="H238">
        <v>4.649558453</v>
      </c>
      <c r="I238">
        <v>4.3933053639999997</v>
      </c>
    </row>
    <row r="239" spans="1:9">
      <c r="A239" t="s">
        <v>237</v>
      </c>
      <c r="B239">
        <v>6.2337851280000001</v>
      </c>
      <c r="C239">
        <v>6.27943827</v>
      </c>
      <c r="D239">
        <v>6.3436113350000003</v>
      </c>
      <c r="E239">
        <v>6.2260201500000001</v>
      </c>
      <c r="F239">
        <v>5.7451078180000001</v>
      </c>
      <c r="G239">
        <v>5.2868253599999999</v>
      </c>
      <c r="H239">
        <v>4.8952998799999996</v>
      </c>
      <c r="I239">
        <v>4.5949122879999997</v>
      </c>
    </row>
    <row r="240" spans="1:9">
      <c r="A240" t="s">
        <v>238</v>
      </c>
      <c r="B240">
        <v>6.1081698649999998</v>
      </c>
      <c r="C240">
        <v>6.0952813189999997</v>
      </c>
      <c r="D240">
        <v>6.1051736480000001</v>
      </c>
      <c r="E240">
        <v>6.0015109339999997</v>
      </c>
      <c r="F240">
        <v>5.8765438999999997</v>
      </c>
      <c r="G240">
        <v>5.3720263109999999</v>
      </c>
      <c r="H240">
        <v>5.0096148090000003</v>
      </c>
      <c r="I240">
        <v>4.685564888</v>
      </c>
    </row>
    <row r="241" spans="1:9">
      <c r="A241" t="s">
        <v>239</v>
      </c>
      <c r="B241">
        <v>6.2337851280000001</v>
      </c>
      <c r="C241">
        <v>6.4037884390000004</v>
      </c>
      <c r="D241">
        <v>6.4055943500000003</v>
      </c>
      <c r="E241">
        <v>6.4004664900000003</v>
      </c>
      <c r="F241">
        <v>5.98206521</v>
      </c>
      <c r="G241">
        <v>5.4910695020000002</v>
      </c>
      <c r="H241">
        <v>5.0880663549999996</v>
      </c>
      <c r="I241">
        <v>4.7870421179999996</v>
      </c>
    </row>
    <row r="242" spans="1:9">
      <c r="A242" t="s">
        <v>240</v>
      </c>
      <c r="B242">
        <v>6.233457939</v>
      </c>
      <c r="C242">
        <v>6.4644565580000002</v>
      </c>
      <c r="D242">
        <v>6.614562759</v>
      </c>
      <c r="E242">
        <v>6.5103400420000002</v>
      </c>
      <c r="F242">
        <v>5.9452963109999999</v>
      </c>
      <c r="G242">
        <v>5.4476219639999997</v>
      </c>
      <c r="H242">
        <v>5.0672947959999997</v>
      </c>
      <c r="I242">
        <v>4.7675202499999996</v>
      </c>
    </row>
    <row r="243" spans="1:9">
      <c r="A243" t="s">
        <v>241</v>
      </c>
      <c r="B243">
        <v>6.013110674</v>
      </c>
      <c r="C243">
        <v>6.2774867859999999</v>
      </c>
      <c r="D243">
        <v>6.4597132930000001</v>
      </c>
      <c r="E243">
        <v>6.3286961479999997</v>
      </c>
      <c r="F243">
        <v>5.8593178720000001</v>
      </c>
      <c r="G243">
        <v>5.4004539989999998</v>
      </c>
      <c r="H243">
        <v>5.0292430640000001</v>
      </c>
      <c r="I243">
        <v>4.717086943</v>
      </c>
    </row>
    <row r="244" spans="1:9">
      <c r="A244" t="s">
        <v>242</v>
      </c>
      <c r="B244">
        <v>6.1078496800000002</v>
      </c>
      <c r="C244">
        <v>6.2784618959999996</v>
      </c>
      <c r="D244">
        <v>6.430658244</v>
      </c>
      <c r="E244">
        <v>6.2718968029999997</v>
      </c>
      <c r="F244">
        <v>5.748532397</v>
      </c>
      <c r="G244">
        <v>5.2202576540000001</v>
      </c>
      <c r="H244">
        <v>4.872074413</v>
      </c>
      <c r="I244">
        <v>4.5609385160000002</v>
      </c>
    </row>
    <row r="245" spans="1:9">
      <c r="A245" t="s">
        <v>243</v>
      </c>
      <c r="B245">
        <v>5.9197227549999996</v>
      </c>
      <c r="C245">
        <v>6.2177459700000002</v>
      </c>
      <c r="D245">
        <v>6.3436113350000003</v>
      </c>
      <c r="E245">
        <v>6.1654355169999997</v>
      </c>
      <c r="F245">
        <v>5.6387598969999999</v>
      </c>
      <c r="G245">
        <v>5.1305667570000004</v>
      </c>
      <c r="H245">
        <v>4.7610638720000003</v>
      </c>
      <c r="I245">
        <v>4.4388206060000002</v>
      </c>
    </row>
    <row r="246" spans="1:9">
      <c r="A246" t="s">
        <v>244</v>
      </c>
      <c r="B246">
        <v>6.1706555649999997</v>
      </c>
      <c r="C246">
        <v>6.5250969650000004</v>
      </c>
      <c r="D246">
        <v>6.6415568660000002</v>
      </c>
      <c r="E246">
        <v>6.4459745609999999</v>
      </c>
      <c r="F246">
        <v>5.8935205829999999</v>
      </c>
      <c r="G246">
        <v>5.3957417080000001</v>
      </c>
      <c r="H246">
        <v>4.9844809620000001</v>
      </c>
      <c r="I246">
        <v>4.6743264069999997</v>
      </c>
    </row>
    <row r="247" spans="1:9">
      <c r="A247" t="s">
        <v>245</v>
      </c>
      <c r="B247">
        <v>5.9822274479999997</v>
      </c>
      <c r="C247">
        <v>6.1550875100000004</v>
      </c>
      <c r="D247">
        <v>6.2215990899999998</v>
      </c>
      <c r="E247">
        <v>6.1654355169999997</v>
      </c>
      <c r="F247">
        <v>5.62955498</v>
      </c>
      <c r="G247">
        <v>5.1416973649999997</v>
      </c>
      <c r="H247">
        <v>4.7509295419999997</v>
      </c>
      <c r="I247">
        <v>4.4399501020000001</v>
      </c>
    </row>
    <row r="248" spans="1:9">
      <c r="A248" t="s">
        <v>246</v>
      </c>
      <c r="B248">
        <v>6.1078496800000002</v>
      </c>
      <c r="C248">
        <v>6.2784618959999996</v>
      </c>
      <c r="D248">
        <v>6.3416769979999996</v>
      </c>
      <c r="E248">
        <v>6.1654355169999997</v>
      </c>
      <c r="F248">
        <v>5.555061566</v>
      </c>
      <c r="G248">
        <v>5.0689724759999999</v>
      </c>
      <c r="H248">
        <v>4.7102899239999996</v>
      </c>
      <c r="I248">
        <v>4.3994623580000001</v>
      </c>
    </row>
    <row r="249" spans="1:9">
      <c r="A249" t="s">
        <v>247</v>
      </c>
      <c r="B249">
        <v>5.9200326749999999</v>
      </c>
      <c r="C249">
        <v>6.0335509170000003</v>
      </c>
      <c r="D249">
        <v>6.043190633</v>
      </c>
      <c r="E249">
        <v>5.94438713</v>
      </c>
      <c r="F249">
        <v>5.4294616009999999</v>
      </c>
      <c r="G249">
        <v>4.9306575270000002</v>
      </c>
      <c r="H249">
        <v>4.5603781149999998</v>
      </c>
      <c r="I249">
        <v>4.249017201</v>
      </c>
    </row>
    <row r="250" spans="1:9">
      <c r="A250" t="s">
        <v>248</v>
      </c>
      <c r="B250">
        <v>5.66811621</v>
      </c>
      <c r="C250">
        <v>5.847394177</v>
      </c>
      <c r="D250">
        <v>5.8627216100000004</v>
      </c>
      <c r="E250">
        <v>5.651612772</v>
      </c>
      <c r="F250">
        <v>5.2196000290000004</v>
      </c>
      <c r="G250">
        <v>4.7395136740000003</v>
      </c>
      <c r="H250">
        <v>4.3893094530000001</v>
      </c>
      <c r="I250">
        <v>4.0870468500000001</v>
      </c>
    </row>
    <row r="251" spans="1:9">
      <c r="A251" t="s">
        <v>249</v>
      </c>
      <c r="B251">
        <v>5.794683043</v>
      </c>
      <c r="C251">
        <v>5.8492133070000003</v>
      </c>
      <c r="D251">
        <v>5.926515201</v>
      </c>
      <c r="E251">
        <v>5.8334768959999996</v>
      </c>
      <c r="F251">
        <v>5.3826575710000002</v>
      </c>
      <c r="G251">
        <v>4.9030580490000002</v>
      </c>
      <c r="H251">
        <v>4.4904834070000001</v>
      </c>
      <c r="I251">
        <v>4.1787705959999997</v>
      </c>
    </row>
    <row r="252" spans="1:9">
      <c r="A252" t="s">
        <v>250</v>
      </c>
      <c r="B252">
        <v>5.8578221670000001</v>
      </c>
      <c r="C252">
        <v>5.9119015749999999</v>
      </c>
      <c r="D252">
        <v>5.988536807</v>
      </c>
      <c r="E252">
        <v>5.8941718439999997</v>
      </c>
      <c r="F252">
        <v>5.5367261509999999</v>
      </c>
      <c r="G252">
        <v>5.0509754349999998</v>
      </c>
      <c r="H252">
        <v>4.6011736089999999</v>
      </c>
      <c r="I252">
        <v>4.2905658239999998</v>
      </c>
    </row>
    <row r="253" spans="1:9">
      <c r="A253" t="s">
        <v>251</v>
      </c>
      <c r="B253">
        <v>5.9209657160000004</v>
      </c>
      <c r="C253">
        <v>5.9745994480000002</v>
      </c>
      <c r="D253">
        <v>6.0505777270000003</v>
      </c>
      <c r="E253">
        <v>5.9298242329999997</v>
      </c>
      <c r="F253">
        <v>5.514015186</v>
      </c>
      <c r="G253">
        <v>5.0244355110000001</v>
      </c>
      <c r="H253">
        <v>4.5809990330000003</v>
      </c>
      <c r="I253">
        <v>4.216263144</v>
      </c>
    </row>
    <row r="254" spans="1:9">
      <c r="A254" t="s">
        <v>252</v>
      </c>
      <c r="B254">
        <v>5.9841117559999999</v>
      </c>
      <c r="C254">
        <v>5.9446861999999996</v>
      </c>
      <c r="D254">
        <v>5.8716861070000004</v>
      </c>
      <c r="E254">
        <v>5.7004116800000002</v>
      </c>
      <c r="F254">
        <v>5.3655271750000004</v>
      </c>
      <c r="G254">
        <v>4.885196981</v>
      </c>
      <c r="H254">
        <v>4.5359544170000001</v>
      </c>
      <c r="I254">
        <v>4.1694770630000004</v>
      </c>
    </row>
    <row r="255" spans="1:9">
      <c r="A255" t="s">
        <v>253</v>
      </c>
      <c r="B255">
        <v>6.0155785039999996</v>
      </c>
      <c r="C255">
        <v>5.9446861999999996</v>
      </c>
      <c r="D255">
        <v>5.9018690810000001</v>
      </c>
      <c r="E255">
        <v>5.7324575109999998</v>
      </c>
      <c r="F255">
        <v>5.5682179439999997</v>
      </c>
      <c r="G255">
        <v>5.1455283469999999</v>
      </c>
      <c r="H255">
        <v>4.7512962080000003</v>
      </c>
      <c r="I255">
        <v>4.4283166940000003</v>
      </c>
    </row>
    <row r="256" spans="1:9">
      <c r="A256" t="s">
        <v>254</v>
      </c>
      <c r="B256">
        <v>6.3617235020000003</v>
      </c>
      <c r="C256">
        <v>6.4097659379999996</v>
      </c>
      <c r="D256">
        <v>6.5375991920000001</v>
      </c>
      <c r="E256">
        <v>6.3126123080000003</v>
      </c>
      <c r="F256">
        <v>5.8345974429999998</v>
      </c>
      <c r="G256">
        <v>5.3145126520000003</v>
      </c>
      <c r="H256">
        <v>4.9032755579999998</v>
      </c>
      <c r="I256">
        <v>4.5597674970000002</v>
      </c>
    </row>
    <row r="257" spans="1:13">
      <c r="A257" t="s">
        <v>255</v>
      </c>
      <c r="B257">
        <v>6.267209942</v>
      </c>
      <c r="C257">
        <v>6.4714963399999998</v>
      </c>
      <c r="D257">
        <v>6.5075900500000001</v>
      </c>
      <c r="E257">
        <v>6.2231872480000003</v>
      </c>
      <c r="F257">
        <v>5.8496985060000002</v>
      </c>
      <c r="G257">
        <v>5.3496549440000001</v>
      </c>
      <c r="H257">
        <v>4.9590032539999997</v>
      </c>
      <c r="I257">
        <v>4.6377492990000002</v>
      </c>
    </row>
    <row r="258" spans="1:13">
      <c r="A258" t="s">
        <v>256</v>
      </c>
      <c r="B258">
        <v>6.3617235020000003</v>
      </c>
      <c r="C258">
        <v>6.5332165509999998</v>
      </c>
      <c r="D258">
        <v>6.5997174870000004</v>
      </c>
      <c r="E258">
        <v>6.3735290969999996</v>
      </c>
      <c r="F258">
        <v>5.815657496</v>
      </c>
      <c r="G258">
        <v>5.286708247</v>
      </c>
      <c r="H258">
        <v>4.8869582249999999</v>
      </c>
      <c r="I258">
        <v>4.5674505959999996</v>
      </c>
    </row>
    <row r="259" spans="1:13">
      <c r="A259" t="s">
        <v>257</v>
      </c>
      <c r="B259">
        <v>6.235747452</v>
      </c>
      <c r="C259">
        <v>6.4396809089999998</v>
      </c>
      <c r="D259">
        <v>6.4153802259999999</v>
      </c>
      <c r="E259">
        <v>6.251732606</v>
      </c>
      <c r="F259">
        <v>5.8095238169999996</v>
      </c>
      <c r="G259">
        <v>5.3305872990000003</v>
      </c>
      <c r="H259">
        <v>4.9821343499999999</v>
      </c>
      <c r="I259">
        <v>4.6617505049999997</v>
      </c>
    </row>
    <row r="260" spans="1:13">
      <c r="A260" t="s">
        <v>258</v>
      </c>
      <c r="B260">
        <v>6.8010304049999997</v>
      </c>
      <c r="C260">
        <v>6.9022671180000001</v>
      </c>
      <c r="D260">
        <v>6.8358435589999997</v>
      </c>
      <c r="E260">
        <v>6.5941823279999996</v>
      </c>
      <c r="F260">
        <v>6.2097222729999997</v>
      </c>
      <c r="G260">
        <v>5.730217025</v>
      </c>
      <c r="H260">
        <v>5.318364796</v>
      </c>
      <c r="I260">
        <v>4.9887203339999999</v>
      </c>
    </row>
    <row r="261" spans="1:13">
      <c r="A261" t="s">
        <v>259</v>
      </c>
      <c r="B261">
        <v>6.4870177299999998</v>
      </c>
      <c r="C261">
        <v>6.5332165509999998</v>
      </c>
      <c r="D261">
        <v>6.5375991920000001</v>
      </c>
      <c r="E261">
        <v>6.3126123080000003</v>
      </c>
      <c r="F261">
        <v>5.8589480199999997</v>
      </c>
      <c r="G261">
        <v>5.4009015429999998</v>
      </c>
      <c r="H261">
        <v>5.0208046819999996</v>
      </c>
      <c r="I261">
        <v>4.7127065720000001</v>
      </c>
    </row>
    <row r="262" spans="1:13">
      <c r="A262" t="s">
        <v>260</v>
      </c>
      <c r="B262">
        <v>6.5505140329999998</v>
      </c>
      <c r="C262">
        <v>6.5332165509999998</v>
      </c>
      <c r="D262">
        <v>6.4173409809999997</v>
      </c>
      <c r="E262">
        <v>6.2591171860000001</v>
      </c>
      <c r="F262">
        <v>5.9341643990000001</v>
      </c>
      <c r="G262">
        <v>5.494785244</v>
      </c>
      <c r="H262">
        <v>5.1253903599999999</v>
      </c>
      <c r="I262">
        <v>4.7826269589999999</v>
      </c>
    </row>
    <row r="263" spans="1:13">
      <c r="A263" t="s">
        <v>261</v>
      </c>
      <c r="B263">
        <v>6.6768366859999997</v>
      </c>
      <c r="C263">
        <v>6.6587004969999999</v>
      </c>
      <c r="D263">
        <v>6.6638912179999998</v>
      </c>
      <c r="E263">
        <v>6.4954750749999999</v>
      </c>
      <c r="F263">
        <v>6.0904565770000003</v>
      </c>
      <c r="G263">
        <v>5.6421305909999999</v>
      </c>
      <c r="H263">
        <v>5.22088749</v>
      </c>
      <c r="I263">
        <v>4.858225537</v>
      </c>
    </row>
    <row r="264" spans="1:13">
      <c r="A264" t="s">
        <v>262</v>
      </c>
      <c r="B264">
        <v>6.6768366859999997</v>
      </c>
      <c r="C264">
        <v>6.5342335269999996</v>
      </c>
      <c r="D264">
        <v>6.6057731549999996</v>
      </c>
      <c r="E264">
        <v>6.3848368530000004</v>
      </c>
      <c r="F264">
        <v>6.0603179410000001</v>
      </c>
      <c r="G264">
        <v>5.5997989070000003</v>
      </c>
      <c r="H264">
        <v>5.261930757</v>
      </c>
      <c r="I264">
        <v>4.8848853930000002</v>
      </c>
    </row>
    <row r="265" spans="1:13">
      <c r="A265" t="s">
        <v>263</v>
      </c>
      <c r="B265">
        <v>6.5503425240000004</v>
      </c>
      <c r="C265">
        <v>6.5661657760000001</v>
      </c>
      <c r="D265">
        <v>6.5135595129999997</v>
      </c>
      <c r="E265">
        <v>6.4459024390000002</v>
      </c>
      <c r="F265">
        <v>6.0813960219999998</v>
      </c>
      <c r="G265">
        <v>5.6421460760000004</v>
      </c>
      <c r="H265">
        <v>5.2628130510000002</v>
      </c>
      <c r="I265">
        <v>4.9092079970000002</v>
      </c>
    </row>
    <row r="266" spans="1:13">
      <c r="A266" t="s">
        <v>264</v>
      </c>
      <c r="B266">
        <v>6.4242048760000001</v>
      </c>
      <c r="C266">
        <v>6.4725031240000002</v>
      </c>
      <c r="D266">
        <v>6.4834221950000002</v>
      </c>
      <c r="E266">
        <v>6.3886150099999996</v>
      </c>
      <c r="F266">
        <v>5.9999450100000002</v>
      </c>
      <c r="G266">
        <v>5.5817203900000001</v>
      </c>
      <c r="H266">
        <v>5.2025888729999998</v>
      </c>
      <c r="I266">
        <v>4.8499344689999999</v>
      </c>
    </row>
    <row r="267" spans="1:13">
      <c r="A267" t="s">
        <v>265</v>
      </c>
      <c r="B267">
        <v>6.3297641750000002</v>
      </c>
      <c r="C267">
        <v>6.4107643369999998</v>
      </c>
      <c r="D267">
        <v>6.5155523999999998</v>
      </c>
      <c r="E267">
        <v>6.331294744</v>
      </c>
      <c r="F267">
        <v>5.9844950370000003</v>
      </c>
      <c r="G267">
        <v>5.5556684340000002</v>
      </c>
      <c r="H267">
        <v>5.1866289989999999</v>
      </c>
      <c r="I267">
        <v>4.8445736430000004</v>
      </c>
    </row>
    <row r="268" spans="1:13">
      <c r="A268" t="s">
        <v>266</v>
      </c>
      <c r="B268">
        <v>6.6126329930000001</v>
      </c>
      <c r="C268">
        <v>6.7214568229999996</v>
      </c>
      <c r="D268">
        <v>6.6679690190000001</v>
      </c>
      <c r="E268">
        <v>6.4497179090000003</v>
      </c>
      <c r="F268">
        <v>5.9532336639999999</v>
      </c>
      <c r="G268">
        <v>5.4964873619999999</v>
      </c>
      <c r="H268">
        <v>5.0869555289999999</v>
      </c>
      <c r="I268">
        <v>4.7133657580000001</v>
      </c>
    </row>
    <row r="269" spans="1:13">
      <c r="A269" t="s">
        <v>267</v>
      </c>
      <c r="B269">
        <v>6.4398834430000003</v>
      </c>
      <c r="C269">
        <v>6.5980062100000003</v>
      </c>
      <c r="D269">
        <v>6.4873909479999998</v>
      </c>
      <c r="E269">
        <v>6.3350445019999997</v>
      </c>
      <c r="F269">
        <v>5.8826638730000003</v>
      </c>
      <c r="G269">
        <v>5.4150025499999996</v>
      </c>
      <c r="H269">
        <v>4.984086445</v>
      </c>
      <c r="I269">
        <v>4.610182365</v>
      </c>
      <c r="L269">
        <v>1.3657289542313E-3</v>
      </c>
      <c r="M269">
        <f>L269*5200</f>
        <v>7.1017905620027602</v>
      </c>
    </row>
    <row r="270" spans="1:13">
      <c r="A270" t="s">
        <v>268</v>
      </c>
      <c r="B270">
        <v>6.6771876170000004</v>
      </c>
      <c r="C270">
        <v>6.6000608029999999</v>
      </c>
      <c r="D270">
        <v>6.55161091</v>
      </c>
      <c r="E270">
        <v>6.2239277089999998</v>
      </c>
      <c r="F270">
        <v>5.7606464070000003</v>
      </c>
      <c r="G270">
        <v>5.31391597</v>
      </c>
      <c r="H270">
        <v>4.9258756379999999</v>
      </c>
      <c r="I270">
        <v>4.5514326939999998</v>
      </c>
      <c r="L270">
        <v>1.4082292570601501E-3</v>
      </c>
      <c r="M270">
        <f t="shared" ref="M270:M333" si="0">L270*5200</f>
        <v>7.3227921367127804</v>
      </c>
    </row>
    <row r="271" spans="1:13">
      <c r="A271" t="s">
        <v>269</v>
      </c>
      <c r="B271">
        <v>6.583008092</v>
      </c>
      <c r="C271">
        <v>6.4611152130000002</v>
      </c>
      <c r="D271">
        <v>6.3727673569999999</v>
      </c>
      <c r="E271">
        <v>6.0838094099999998</v>
      </c>
      <c r="F271">
        <v>5.7437794870000003</v>
      </c>
      <c r="G271">
        <v>5.3055989710000002</v>
      </c>
      <c r="H271">
        <v>4.8643476980000004</v>
      </c>
      <c r="I271">
        <v>4.4704902129999997</v>
      </c>
      <c r="L271">
        <v>1.38187682774232E-3</v>
      </c>
      <c r="M271">
        <f t="shared" si="0"/>
        <v>7.1857595042600639</v>
      </c>
    </row>
    <row r="272" spans="1:13">
      <c r="A272" t="s">
        <v>270</v>
      </c>
      <c r="B272">
        <v>6.2537451720000004</v>
      </c>
      <c r="C272">
        <v>6.2789238760000003</v>
      </c>
      <c r="D272">
        <v>6.1809488110000004</v>
      </c>
      <c r="E272">
        <v>5.8194004049999997</v>
      </c>
      <c r="F272">
        <v>5.5076379830000004</v>
      </c>
      <c r="G272">
        <v>5.0686587850000002</v>
      </c>
      <c r="H272">
        <v>4.6698722909999999</v>
      </c>
      <c r="I272">
        <v>4.2975616680000002</v>
      </c>
      <c r="L272">
        <v>1.3075413107042E-3</v>
      </c>
      <c r="M272">
        <f t="shared" si="0"/>
        <v>6.7992148156618395</v>
      </c>
    </row>
    <row r="273" spans="1:13">
      <c r="A273" t="s">
        <v>271</v>
      </c>
      <c r="B273">
        <v>6.4269042890000003</v>
      </c>
      <c r="C273">
        <v>6.2332497299999998</v>
      </c>
      <c r="D273">
        <v>6.074711829</v>
      </c>
      <c r="E273">
        <v>5.7479600660000001</v>
      </c>
      <c r="F273">
        <v>5.320414339</v>
      </c>
      <c r="G273">
        <v>4.8427226149999996</v>
      </c>
      <c r="H273">
        <v>4.4335825550000001</v>
      </c>
      <c r="I273">
        <v>4.1601344840000003</v>
      </c>
      <c r="L273">
        <v>1.33838741797208E-3</v>
      </c>
      <c r="M273">
        <f t="shared" si="0"/>
        <v>6.9596145734548163</v>
      </c>
    </row>
    <row r="274" spans="1:13">
      <c r="A274" t="s">
        <v>272</v>
      </c>
      <c r="B274">
        <v>6.4433492210000001</v>
      </c>
      <c r="C274">
        <v>6.4531326299999998</v>
      </c>
      <c r="D274">
        <v>6.2323904419999998</v>
      </c>
      <c r="E274">
        <v>5.8434004890000004</v>
      </c>
      <c r="F274">
        <v>5.2021664019999996</v>
      </c>
      <c r="G274">
        <v>4.6744146860000004</v>
      </c>
      <c r="H274">
        <v>4.2447011999999997</v>
      </c>
      <c r="I274">
        <v>3.9161686649999998</v>
      </c>
      <c r="L274">
        <v>1.33713032109711E-3</v>
      </c>
      <c r="M274">
        <f t="shared" si="0"/>
        <v>6.9530776697049719</v>
      </c>
    </row>
    <row r="275" spans="1:13">
      <c r="A275" t="s">
        <v>273</v>
      </c>
      <c r="B275">
        <v>6.365064158</v>
      </c>
      <c r="C275">
        <v>6.2671524529999996</v>
      </c>
      <c r="D275">
        <v>6.0033190980000004</v>
      </c>
      <c r="E275">
        <v>5.6047660580000001</v>
      </c>
      <c r="F275">
        <v>5.0151449550000002</v>
      </c>
      <c r="G275">
        <v>4.4866547509999997</v>
      </c>
      <c r="H275">
        <v>4.0771673359999996</v>
      </c>
      <c r="I275">
        <v>3.791449085</v>
      </c>
      <c r="L275">
        <v>1.3167960035104899E-3</v>
      </c>
      <c r="M275">
        <f t="shared" si="0"/>
        <v>6.8473392182545476</v>
      </c>
    </row>
    <row r="276" spans="1:13">
      <c r="A276" t="s">
        <v>274</v>
      </c>
      <c r="B276">
        <v>6.396540978</v>
      </c>
      <c r="C276">
        <v>6.220477593</v>
      </c>
      <c r="D276">
        <v>5.9885785140000003</v>
      </c>
      <c r="E276">
        <v>5.6354839859999997</v>
      </c>
      <c r="F276">
        <v>5.319123544</v>
      </c>
      <c r="G276">
        <v>4.7552514129999999</v>
      </c>
      <c r="H276">
        <v>4.3438797070000001</v>
      </c>
      <c r="I276">
        <v>4.0567433990000001</v>
      </c>
      <c r="L276">
        <v>1.31944618031256E-3</v>
      </c>
      <c r="M276">
        <f t="shared" si="0"/>
        <v>6.8611201376253117</v>
      </c>
    </row>
    <row r="277" spans="1:13">
      <c r="A277" t="s">
        <v>275</v>
      </c>
      <c r="B277">
        <v>6.6789376379999998</v>
      </c>
      <c r="C277">
        <v>6.5745464760000001</v>
      </c>
      <c r="D277">
        <v>6.4963449439999996</v>
      </c>
      <c r="E277">
        <v>6.0678674020000001</v>
      </c>
      <c r="F277">
        <v>5.1667324819999996</v>
      </c>
      <c r="G277">
        <v>4.6112758319999996</v>
      </c>
      <c r="H277">
        <v>4.255409513</v>
      </c>
      <c r="I277">
        <v>3.9802430630000001</v>
      </c>
      <c r="L277">
        <v>1.3737197814786999E-3</v>
      </c>
      <c r="M277">
        <f t="shared" si="0"/>
        <v>7.1433428636892398</v>
      </c>
    </row>
    <row r="278" spans="1:13">
      <c r="A278" t="s">
        <v>276</v>
      </c>
      <c r="B278">
        <v>6.6958154160000003</v>
      </c>
      <c r="C278">
        <v>6.6210575800000004</v>
      </c>
      <c r="D278">
        <v>6.1936642080000004</v>
      </c>
      <c r="E278">
        <v>5.9588782130000002</v>
      </c>
      <c r="F278">
        <v>5.0462789219999999</v>
      </c>
      <c r="G278">
        <v>4.4614648770000001</v>
      </c>
      <c r="H278">
        <v>4.0020142239999998</v>
      </c>
      <c r="I278">
        <v>3.7289794889999999</v>
      </c>
      <c r="L278">
        <v>1.37380854938858E-3</v>
      </c>
      <c r="M278">
        <f t="shared" si="0"/>
        <v>7.1438044568206163</v>
      </c>
    </row>
    <row r="279" spans="1:13">
      <c r="A279" t="s">
        <v>277</v>
      </c>
      <c r="B279">
        <v>6.4130854279999996</v>
      </c>
      <c r="C279">
        <v>6.3910770210000001</v>
      </c>
      <c r="D279">
        <v>6.0789258129999997</v>
      </c>
      <c r="E279">
        <v>5.7189398669999996</v>
      </c>
      <c r="F279">
        <v>5.1793913219999999</v>
      </c>
      <c r="G279">
        <v>4.6295007190000002</v>
      </c>
      <c r="H279">
        <v>4.2306845690000001</v>
      </c>
      <c r="I279">
        <v>3.9545690310000001</v>
      </c>
      <c r="L279">
        <v>1.31313878445554E-3</v>
      </c>
      <c r="M279">
        <f t="shared" si="0"/>
        <v>6.8283216791688082</v>
      </c>
    </row>
    <row r="280" spans="1:13">
      <c r="A280" t="s">
        <v>278</v>
      </c>
      <c r="B280">
        <v>6.4445138980000003</v>
      </c>
      <c r="C280">
        <v>6.35890296</v>
      </c>
      <c r="D280">
        <v>6.1688915230000001</v>
      </c>
      <c r="E280">
        <v>5.8181503069999998</v>
      </c>
      <c r="F280">
        <v>5.1478467459999999</v>
      </c>
      <c r="G280">
        <v>4.5975413649999997</v>
      </c>
      <c r="H280">
        <v>4.1767861450000003</v>
      </c>
      <c r="I280">
        <v>3.900138127</v>
      </c>
      <c r="L280">
        <v>1.3167791699722901E-3</v>
      </c>
      <c r="M280">
        <f t="shared" si="0"/>
        <v>6.8472516838559079</v>
      </c>
    </row>
    <row r="281" spans="1:13">
      <c r="A281" t="s">
        <v>279</v>
      </c>
      <c r="B281">
        <v>6.5849517200000003</v>
      </c>
      <c r="C281">
        <v>6.4197562589999997</v>
      </c>
      <c r="D281">
        <v>6.1969544379999997</v>
      </c>
      <c r="E281">
        <v>5.7244290949999996</v>
      </c>
      <c r="F281">
        <v>5.1395970130000004</v>
      </c>
      <c r="G281">
        <v>4.6300133619999997</v>
      </c>
      <c r="H281">
        <v>4.2504836389999996</v>
      </c>
      <c r="I281">
        <v>3.9732392339999998</v>
      </c>
      <c r="L281">
        <v>1.34270112795717E-3</v>
      </c>
      <c r="M281">
        <f t="shared" si="0"/>
        <v>6.9820458653772839</v>
      </c>
    </row>
    <row r="282" spans="1:13">
      <c r="A282" t="s">
        <v>280</v>
      </c>
      <c r="B282">
        <v>6.6474640880000004</v>
      </c>
      <c r="C282">
        <v>6.5919136659999999</v>
      </c>
      <c r="D282">
        <v>6.3332155769999998</v>
      </c>
      <c r="E282">
        <v>5.9467650020000002</v>
      </c>
      <c r="F282">
        <v>5.42128137</v>
      </c>
      <c r="G282">
        <v>4.9208110429999996</v>
      </c>
      <c r="H282">
        <v>4.4883317700000003</v>
      </c>
      <c r="I282">
        <v>4.1682638709999997</v>
      </c>
      <c r="L282">
        <v>1.35292484528822E-3</v>
      </c>
      <c r="M282">
        <f t="shared" si="0"/>
        <v>7.0352091954987444</v>
      </c>
    </row>
    <row r="283" spans="1:13">
      <c r="A283" t="s">
        <v>281</v>
      </c>
      <c r="B283">
        <v>6.6162944719999999</v>
      </c>
      <c r="C283">
        <v>6.5439131230000003</v>
      </c>
      <c r="D283">
        <v>6.3477061040000002</v>
      </c>
      <c r="E283">
        <v>6.0335587259999999</v>
      </c>
      <c r="F283">
        <v>5.3408848369999999</v>
      </c>
      <c r="G283">
        <v>4.843044184</v>
      </c>
      <c r="H283">
        <v>4.4224225060000002</v>
      </c>
      <c r="I283">
        <v>4.1139916120000004</v>
      </c>
      <c r="L283">
        <v>1.3443386143813601E-3</v>
      </c>
      <c r="M283">
        <f t="shared" si="0"/>
        <v>6.9905607947830726</v>
      </c>
    </row>
    <row r="284" spans="1:13">
      <c r="A284" t="s">
        <v>282</v>
      </c>
      <c r="B284">
        <v>6.459512857</v>
      </c>
      <c r="C284">
        <v>6.2985328589999998</v>
      </c>
      <c r="D284">
        <v>6.1243622560000004</v>
      </c>
      <c r="E284">
        <v>5.6892906400000003</v>
      </c>
      <c r="F284">
        <v>5.1204067599999998</v>
      </c>
      <c r="G284">
        <v>4.6301919180000004</v>
      </c>
      <c r="H284">
        <v>4.2189026079999996</v>
      </c>
      <c r="I284">
        <v>3.9088224810000001</v>
      </c>
      <c r="L284">
        <v>1.3105781793450501E-3</v>
      </c>
      <c r="M284">
        <f t="shared" si="0"/>
        <v>6.8150065325942606</v>
      </c>
    </row>
    <row r="285" spans="1:13">
      <c r="A285" t="s">
        <v>283</v>
      </c>
      <c r="B285">
        <v>6.5696413649999998</v>
      </c>
      <c r="C285">
        <v>6.2975456369999998</v>
      </c>
      <c r="D285">
        <v>6.0330565360000001</v>
      </c>
      <c r="E285">
        <v>5.6158892629999997</v>
      </c>
      <c r="F285">
        <v>5.0055382240000004</v>
      </c>
      <c r="G285">
        <v>4.5253289580000002</v>
      </c>
      <c r="H285">
        <v>4.1554300189999998</v>
      </c>
      <c r="I285">
        <v>3.8444200309999998</v>
      </c>
      <c r="L285">
        <v>1.3308200471307901E-3</v>
      </c>
      <c r="M285">
        <f t="shared" si="0"/>
        <v>6.9202642450801086</v>
      </c>
    </row>
    <row r="286" spans="1:13">
      <c r="A286" t="s">
        <v>284</v>
      </c>
      <c r="B286">
        <v>6.2403339679999998</v>
      </c>
      <c r="C286">
        <v>5.8656382699999998</v>
      </c>
      <c r="D286">
        <v>5.5662615200000003</v>
      </c>
      <c r="E286">
        <v>5.1858375629999998</v>
      </c>
      <c r="F286">
        <v>4.602024439</v>
      </c>
      <c r="G286">
        <v>4.1222266879999996</v>
      </c>
      <c r="H286">
        <v>3.7631762630000001</v>
      </c>
      <c r="I286">
        <v>3.4519781100000002</v>
      </c>
      <c r="L286">
        <v>1.2627123224244201E-3</v>
      </c>
      <c r="M286">
        <f t="shared" si="0"/>
        <v>6.5661040766069849</v>
      </c>
    </row>
    <row r="287" spans="1:13">
      <c r="A287" t="s">
        <v>285</v>
      </c>
      <c r="B287">
        <v>5.7369660480000002</v>
      </c>
      <c r="C287">
        <v>5.5557929440000002</v>
      </c>
      <c r="D287">
        <v>5.3547182869999999</v>
      </c>
      <c r="E287">
        <v>5.0124202860000002</v>
      </c>
      <c r="F287">
        <v>4.5045098609999998</v>
      </c>
      <c r="G287">
        <v>4.0333150599999996</v>
      </c>
      <c r="H287">
        <v>3.6731830969999999</v>
      </c>
      <c r="I287">
        <v>3.3837180569999998</v>
      </c>
      <c r="L287">
        <v>1.15991794714087E-3</v>
      </c>
      <c r="M287">
        <f t="shared" si="0"/>
        <v>6.0315733251325234</v>
      </c>
    </row>
    <row r="288" spans="1:13">
      <c r="A288" t="s">
        <v>286</v>
      </c>
      <c r="B288">
        <v>5.8470494459999998</v>
      </c>
      <c r="C288">
        <v>5.6491625519999999</v>
      </c>
      <c r="D288">
        <v>5.4002870999999999</v>
      </c>
      <c r="E288">
        <v>4.9634059920000002</v>
      </c>
      <c r="F288">
        <v>4.4253623729999996</v>
      </c>
      <c r="G288">
        <v>3.9448203720000001</v>
      </c>
      <c r="H288">
        <v>3.5851927410000002</v>
      </c>
      <c r="I288">
        <v>3.3065444859999999</v>
      </c>
      <c r="L288">
        <v>1.1805715734249801E-3</v>
      </c>
      <c r="M288">
        <f t="shared" si="0"/>
        <v>6.1389721818098968</v>
      </c>
    </row>
    <row r="289" spans="1:13">
      <c r="A289" t="s">
        <v>287</v>
      </c>
      <c r="B289">
        <v>5.8155545020000003</v>
      </c>
      <c r="C289">
        <v>5.5859665009999997</v>
      </c>
      <c r="D289">
        <v>5.2771894540000002</v>
      </c>
      <c r="E289">
        <v>4.9518048979999998</v>
      </c>
      <c r="F289">
        <v>4.3309978180000002</v>
      </c>
      <c r="G289">
        <v>3.9214457559999998</v>
      </c>
      <c r="H289">
        <v>3.5400054029999999</v>
      </c>
      <c r="I289">
        <v>3.2396563980000002</v>
      </c>
      <c r="L289">
        <v>1.17287725253987E-3</v>
      </c>
      <c r="M289">
        <f t="shared" si="0"/>
        <v>6.0989617132073244</v>
      </c>
    </row>
    <row r="290" spans="1:13">
      <c r="A290" t="s">
        <v>288</v>
      </c>
      <c r="B290">
        <v>5.7684629139999997</v>
      </c>
      <c r="C290">
        <v>5.4772510280000004</v>
      </c>
      <c r="D290">
        <v>5.1848183050000003</v>
      </c>
      <c r="E290">
        <v>4.7429442990000004</v>
      </c>
      <c r="F290">
        <v>4.241543386</v>
      </c>
      <c r="G290">
        <v>3.8211657140000002</v>
      </c>
      <c r="H290">
        <v>3.471068566</v>
      </c>
      <c r="I290">
        <v>3.180852222</v>
      </c>
      <c r="L290">
        <v>1.1621500402091299E-3</v>
      </c>
      <c r="M290">
        <f t="shared" si="0"/>
        <v>6.0431802090874758</v>
      </c>
    </row>
    <row r="291" spans="1:13">
      <c r="A291" t="s">
        <v>289</v>
      </c>
      <c r="B291">
        <v>5.8942390619999996</v>
      </c>
      <c r="C291">
        <v>5.4920804780000001</v>
      </c>
      <c r="D291">
        <v>5.1684600219999997</v>
      </c>
      <c r="E291">
        <v>4.8466565289999997</v>
      </c>
      <c r="F291">
        <v>4.171469622</v>
      </c>
      <c r="G291">
        <v>3.7031414329999999</v>
      </c>
      <c r="H291">
        <v>3.333773667</v>
      </c>
      <c r="I291">
        <v>3.045260324</v>
      </c>
      <c r="L291">
        <v>1.1860854959964901E-3</v>
      </c>
      <c r="M291">
        <f t="shared" si="0"/>
        <v>6.1676445791817489</v>
      </c>
    </row>
    <row r="292" spans="1:13">
      <c r="A292" t="s">
        <v>290</v>
      </c>
      <c r="B292">
        <v>5.9098577609999996</v>
      </c>
      <c r="C292">
        <v>5.4602849850000004</v>
      </c>
      <c r="D292">
        <v>5.2283893289999996</v>
      </c>
      <c r="E292">
        <v>4.8729875299999996</v>
      </c>
      <c r="F292">
        <v>4.1659793760000001</v>
      </c>
      <c r="G292">
        <v>3.727855812</v>
      </c>
      <c r="H292">
        <v>3.3683319100000002</v>
      </c>
      <c r="I292">
        <v>3.0795130839999998</v>
      </c>
      <c r="L292">
        <v>1.18802457039589E-3</v>
      </c>
      <c r="M292">
        <f t="shared" si="0"/>
        <v>6.1777277660586281</v>
      </c>
    </row>
    <row r="293" spans="1:13">
      <c r="A293" t="s">
        <v>291</v>
      </c>
      <c r="B293">
        <v>5.8152499750000004</v>
      </c>
      <c r="C293">
        <v>5.4611370360000002</v>
      </c>
      <c r="D293">
        <v>5.1676664289999996</v>
      </c>
      <c r="E293">
        <v>4.7386917569999998</v>
      </c>
      <c r="F293">
        <v>3.9761758</v>
      </c>
      <c r="G293">
        <v>3.5486063309999998</v>
      </c>
      <c r="H293">
        <v>3.2204291870000001</v>
      </c>
      <c r="I293">
        <v>2.9414300629999999</v>
      </c>
      <c r="L293">
        <v>1.1680151738189799E-3</v>
      </c>
      <c r="M293">
        <f t="shared" si="0"/>
        <v>6.0736789038586956</v>
      </c>
    </row>
    <row r="294" spans="1:13">
      <c r="A294" t="s">
        <v>292</v>
      </c>
      <c r="B294">
        <v>5.4696658999999999</v>
      </c>
      <c r="C294">
        <v>5.166559414</v>
      </c>
      <c r="D294">
        <v>4.9094142500000002</v>
      </c>
      <c r="E294">
        <v>4.3957182140000004</v>
      </c>
      <c r="F294">
        <v>3.762252471</v>
      </c>
      <c r="G294">
        <v>3.3530410110000002</v>
      </c>
      <c r="H294">
        <v>3.0547815190000001</v>
      </c>
      <c r="I294">
        <v>2.7960898780000001</v>
      </c>
      <c r="L294">
        <v>1.0980431800517801E-3</v>
      </c>
      <c r="M294">
        <f t="shared" si="0"/>
        <v>5.7098245362692559</v>
      </c>
    </row>
    <row r="295" spans="1:13">
      <c r="A295" t="s">
        <v>293</v>
      </c>
      <c r="B295">
        <v>5.170251017</v>
      </c>
      <c r="C295">
        <v>4.8089290269999996</v>
      </c>
      <c r="D295">
        <v>4.7435515199999996</v>
      </c>
      <c r="E295">
        <v>4.3411827399999998</v>
      </c>
      <c r="F295">
        <v>3.748373419</v>
      </c>
      <c r="G295">
        <v>3.338325497</v>
      </c>
      <c r="H295">
        <v>3.050213404</v>
      </c>
      <c r="I295">
        <v>2.7800646549999999</v>
      </c>
      <c r="L295">
        <v>1.03744011545562E-3</v>
      </c>
      <c r="M295">
        <f t="shared" si="0"/>
        <v>5.394688600369224</v>
      </c>
    </row>
    <row r="296" spans="1:13">
      <c r="A296" t="s">
        <v>294</v>
      </c>
      <c r="B296">
        <v>5.6421272409999998</v>
      </c>
      <c r="C296">
        <v>5.2131074159999997</v>
      </c>
      <c r="D296">
        <v>4.7985110740000003</v>
      </c>
      <c r="E296">
        <v>4.1991175920000003</v>
      </c>
      <c r="F296">
        <v>3.6506397370000001</v>
      </c>
      <c r="G296">
        <v>3.2109422400000001</v>
      </c>
      <c r="H296">
        <v>2.9232658790000001</v>
      </c>
      <c r="I296">
        <v>2.664405184</v>
      </c>
      <c r="L296">
        <v>1.1305395393956699E-3</v>
      </c>
      <c r="M296">
        <f t="shared" si="0"/>
        <v>5.8788056048574839</v>
      </c>
    </row>
    <row r="297" spans="1:13">
      <c r="A297" t="s">
        <v>295</v>
      </c>
      <c r="B297">
        <v>5.940857501</v>
      </c>
      <c r="C297">
        <v>5.3052587999999998</v>
      </c>
      <c r="D297">
        <v>5.0446143220000002</v>
      </c>
      <c r="E297">
        <v>4.4980838600000004</v>
      </c>
      <c r="F297">
        <v>3.6994152360000001</v>
      </c>
      <c r="G297">
        <v>3.2217995660000001</v>
      </c>
      <c r="H297">
        <v>2.893982099</v>
      </c>
      <c r="I297">
        <v>2.6370361980000001</v>
      </c>
      <c r="L297">
        <v>1.1890852465209899E-3</v>
      </c>
      <c r="M297">
        <f t="shared" si="0"/>
        <v>6.1832432819091476</v>
      </c>
    </row>
    <row r="298" spans="1:13">
      <c r="A298" t="s">
        <v>296</v>
      </c>
      <c r="B298">
        <v>5.7366652919999996</v>
      </c>
      <c r="C298">
        <v>5.4768228280000004</v>
      </c>
      <c r="D298">
        <v>5.1357672460000003</v>
      </c>
      <c r="E298">
        <v>4.722699177</v>
      </c>
      <c r="F298">
        <v>4.0427773739999999</v>
      </c>
      <c r="G298">
        <v>3.584012124</v>
      </c>
      <c r="H298">
        <v>3.2766646779999999</v>
      </c>
      <c r="I298">
        <v>3.0299833540000001</v>
      </c>
      <c r="L298">
        <v>1.1476056764429701E-3</v>
      </c>
      <c r="M298">
        <f t="shared" si="0"/>
        <v>5.9675495175034445</v>
      </c>
    </row>
    <row r="299" spans="1:13">
      <c r="A299" t="s">
        <v>297</v>
      </c>
      <c r="B299">
        <v>5.485727281</v>
      </c>
      <c r="C299">
        <v>5.1983380940000004</v>
      </c>
      <c r="D299">
        <v>4.9253480590000001</v>
      </c>
      <c r="E299">
        <v>4.5048191060000002</v>
      </c>
      <c r="F299">
        <v>3.8725578760000001</v>
      </c>
      <c r="G299">
        <v>3.4238018499999998</v>
      </c>
      <c r="H299">
        <v>3.1059055029999998</v>
      </c>
      <c r="I299">
        <v>2.8811338809999998</v>
      </c>
      <c r="L299">
        <v>1.09693739005599E-3</v>
      </c>
      <c r="M299">
        <f t="shared" si="0"/>
        <v>5.7040744282911477</v>
      </c>
    </row>
    <row r="300" spans="1:13">
      <c r="A300" t="s">
        <v>298</v>
      </c>
      <c r="B300">
        <v>5.4853670430000001</v>
      </c>
      <c r="C300">
        <v>5.3069158720000003</v>
      </c>
      <c r="D300">
        <v>4.9838543849999999</v>
      </c>
      <c r="E300">
        <v>4.5168181250000004</v>
      </c>
      <c r="F300">
        <v>4.0039185909999997</v>
      </c>
      <c r="G300">
        <v>3.56367843</v>
      </c>
      <c r="H300">
        <v>3.2448460400000001</v>
      </c>
      <c r="I300">
        <v>2.9976474049999999</v>
      </c>
      <c r="L300">
        <v>1.0961152848835401E-3</v>
      </c>
      <c r="M300">
        <f t="shared" si="0"/>
        <v>5.6997994813944084</v>
      </c>
    </row>
    <row r="301" spans="1:13">
      <c r="A301" t="s">
        <v>299</v>
      </c>
      <c r="B301">
        <v>5.5952258109999997</v>
      </c>
      <c r="C301">
        <v>5.1824467869999999</v>
      </c>
      <c r="D301">
        <v>5.1252422580000001</v>
      </c>
      <c r="E301">
        <v>4.6086055530000003</v>
      </c>
      <c r="F301">
        <v>4.1296314880000002</v>
      </c>
      <c r="G301">
        <v>3.64894702</v>
      </c>
      <c r="H301">
        <v>3.3100093140000002</v>
      </c>
      <c r="I301">
        <v>3.0527152910000002</v>
      </c>
      <c r="L301">
        <v>1.11719018416635E-3</v>
      </c>
      <c r="M301">
        <f t="shared" si="0"/>
        <v>5.8093889576650204</v>
      </c>
    </row>
    <row r="302" spans="1:13">
      <c r="A302" t="s">
        <v>300</v>
      </c>
      <c r="B302">
        <v>5.6424243350000003</v>
      </c>
      <c r="C302">
        <v>5.4614635580000002</v>
      </c>
      <c r="D302">
        <v>5.1828246670000002</v>
      </c>
      <c r="E302">
        <v>4.724113773</v>
      </c>
      <c r="F302">
        <v>4.1041836089999997</v>
      </c>
      <c r="G302">
        <v>3.6052676479999999</v>
      </c>
      <c r="H302">
        <v>3.288384432</v>
      </c>
      <c r="I302">
        <v>3.0316420769999999</v>
      </c>
      <c r="L302">
        <v>1.12584448792923E-3</v>
      </c>
      <c r="M302">
        <f t="shared" si="0"/>
        <v>5.8543913372319958</v>
      </c>
    </row>
    <row r="303" spans="1:13">
      <c r="A303" t="s">
        <v>301</v>
      </c>
      <c r="B303">
        <v>5.6896206960000004</v>
      </c>
      <c r="C303">
        <v>5.4768228280000004</v>
      </c>
      <c r="D303">
        <v>5.3046501279999996</v>
      </c>
      <c r="E303">
        <v>4.7970745570000002</v>
      </c>
      <c r="F303">
        <v>4.1772500829999997</v>
      </c>
      <c r="G303">
        <v>3.677987806</v>
      </c>
      <c r="H303">
        <v>3.3503937509999999</v>
      </c>
      <c r="I303">
        <v>3.0935744509999998</v>
      </c>
      <c r="L303">
        <v>1.13451542510991E-3</v>
      </c>
      <c r="M303">
        <f t="shared" si="0"/>
        <v>5.8994802105715314</v>
      </c>
    </row>
    <row r="304" spans="1:13">
      <c r="A304" t="s">
        <v>302</v>
      </c>
      <c r="B304">
        <v>5.6589671539999999</v>
      </c>
      <c r="C304">
        <v>5.5101317270000001</v>
      </c>
      <c r="D304">
        <v>5.4019492539999998</v>
      </c>
      <c r="E304">
        <v>4.9663755749999998</v>
      </c>
      <c r="F304">
        <v>4.284235164</v>
      </c>
      <c r="G304">
        <v>3.7855710120000001</v>
      </c>
      <c r="H304">
        <v>3.4166424659999999</v>
      </c>
      <c r="I304">
        <v>3.1721071090000001</v>
      </c>
      <c r="L304">
        <v>1.12778658895696E-3</v>
      </c>
      <c r="M304">
        <f t="shared" si="0"/>
        <v>5.8644902625761919</v>
      </c>
    </row>
    <row r="305" spans="1:13">
      <c r="A305" t="s">
        <v>303</v>
      </c>
      <c r="B305">
        <v>5.4073254149999999</v>
      </c>
      <c r="C305">
        <v>5.448116754</v>
      </c>
      <c r="D305">
        <v>5.2171479270000001</v>
      </c>
      <c r="E305">
        <v>4.8641453449999998</v>
      </c>
      <c r="F305">
        <v>4.1913079590000004</v>
      </c>
      <c r="G305">
        <v>3.7021605960000001</v>
      </c>
      <c r="H305">
        <v>3.343130425</v>
      </c>
      <c r="I305">
        <v>3.0983324739999998</v>
      </c>
      <c r="L305">
        <v>1.07735460827433E-3</v>
      </c>
      <c r="M305">
        <f t="shared" si="0"/>
        <v>5.6022439630265159</v>
      </c>
    </row>
    <row r="306" spans="1:13">
      <c r="A306" t="s">
        <v>304</v>
      </c>
      <c r="B306">
        <v>5.3603937469999998</v>
      </c>
      <c r="C306">
        <v>5.2469361860000001</v>
      </c>
      <c r="D306">
        <v>5.0812866290000001</v>
      </c>
      <c r="E306">
        <v>4.6113660349999996</v>
      </c>
      <c r="F306">
        <v>4.0475848340000002</v>
      </c>
      <c r="G306">
        <v>3.568562762</v>
      </c>
      <c r="H306">
        <v>3.2200039999999999</v>
      </c>
      <c r="I306">
        <v>2.9747944739999999</v>
      </c>
      <c r="L306">
        <v>1.06749241695399E-3</v>
      </c>
      <c r="M306">
        <f t="shared" si="0"/>
        <v>5.5509605681607477</v>
      </c>
    </row>
    <row r="307" spans="1:13">
      <c r="A307" t="s">
        <v>305</v>
      </c>
      <c r="B307">
        <v>5.533734033</v>
      </c>
      <c r="C307">
        <v>5.4654015569999999</v>
      </c>
      <c r="D307">
        <v>5.1452615929999999</v>
      </c>
      <c r="E307">
        <v>4.6740774780000001</v>
      </c>
      <c r="F307">
        <v>4.0384789310000002</v>
      </c>
      <c r="G307">
        <v>3.5600076839999999</v>
      </c>
      <c r="H307">
        <v>3.2221735229999999</v>
      </c>
      <c r="I307">
        <v>2.9772946920000001</v>
      </c>
      <c r="L307">
        <v>1.10120916349629E-3</v>
      </c>
      <c r="M307">
        <f t="shared" si="0"/>
        <v>5.7262876501807076</v>
      </c>
    </row>
    <row r="308" spans="1:13">
      <c r="A308" t="s">
        <v>306</v>
      </c>
      <c r="B308">
        <v>5.1716099959999999</v>
      </c>
      <c r="C308">
        <v>5.045623387</v>
      </c>
      <c r="D308">
        <v>4.9002691550000002</v>
      </c>
      <c r="E308">
        <v>4.4115510840000001</v>
      </c>
      <c r="F308">
        <v>3.8295345699999999</v>
      </c>
      <c r="G308">
        <v>3.3606845910000001</v>
      </c>
      <c r="H308">
        <v>3.032842552</v>
      </c>
      <c r="I308">
        <v>2.7874569600000001</v>
      </c>
      <c r="L308">
        <v>1.029103834963E-3</v>
      </c>
      <c r="M308">
        <f t="shared" si="0"/>
        <v>5.3513399418076002</v>
      </c>
    </row>
    <row r="309" spans="1:13">
      <c r="A309" t="s">
        <v>307</v>
      </c>
      <c r="B309">
        <v>5.077023295</v>
      </c>
      <c r="C309">
        <v>4.8744285859999996</v>
      </c>
      <c r="D309">
        <v>4.6877164819999999</v>
      </c>
      <c r="E309">
        <v>4.1777580299999997</v>
      </c>
      <c r="F309">
        <v>3.5331058789999998</v>
      </c>
      <c r="G309">
        <v>3.0655624659999998</v>
      </c>
      <c r="H309">
        <v>2.707090762</v>
      </c>
      <c r="I309">
        <v>2.461842694</v>
      </c>
      <c r="L309">
        <v>1.0099273876120699E-3</v>
      </c>
      <c r="M309">
        <f t="shared" si="0"/>
        <v>5.251622415582764</v>
      </c>
    </row>
    <row r="310" spans="1:13">
      <c r="A310" t="s">
        <v>308</v>
      </c>
      <c r="B310">
        <v>5.2503164460000002</v>
      </c>
      <c r="C310">
        <v>4.9837214469999997</v>
      </c>
      <c r="D310">
        <v>4.6263885350000002</v>
      </c>
      <c r="E310">
        <v>4.0599435550000003</v>
      </c>
      <c r="F310">
        <v>3.519929232</v>
      </c>
      <c r="G310">
        <v>3.0919563499999998</v>
      </c>
      <c r="H310">
        <v>2.7536900580000001</v>
      </c>
      <c r="I310">
        <v>2.5081834459999999</v>
      </c>
      <c r="L310">
        <v>1.04366888686441E-3</v>
      </c>
      <c r="M310">
        <f t="shared" si="0"/>
        <v>5.4270782116949317</v>
      </c>
    </row>
    <row r="311" spans="1:13">
      <c r="A311" t="s">
        <v>309</v>
      </c>
      <c r="B311">
        <v>5.2345410269999997</v>
      </c>
      <c r="C311">
        <v>4.9057262149999996</v>
      </c>
      <c r="D311">
        <v>4.7181473240000003</v>
      </c>
      <c r="E311">
        <v>4.1200120580000004</v>
      </c>
      <c r="F311">
        <v>3.5941042049999998</v>
      </c>
      <c r="G311">
        <v>3.14530238</v>
      </c>
      <c r="H311">
        <v>2.807132518</v>
      </c>
      <c r="I311">
        <v>2.5399938629999999</v>
      </c>
      <c r="L311">
        <v>1.0400880742029901E-3</v>
      </c>
      <c r="M311">
        <f t="shared" si="0"/>
        <v>5.4084579858555486</v>
      </c>
    </row>
    <row r="312" spans="1:13">
      <c r="A312" t="s">
        <v>310</v>
      </c>
      <c r="B312">
        <v>5.0457377699999997</v>
      </c>
      <c r="C312">
        <v>4.8126870549999996</v>
      </c>
      <c r="D312">
        <v>4.4430299169999996</v>
      </c>
      <c r="E312">
        <v>3.971444972</v>
      </c>
      <c r="F312">
        <v>3.3472888900000002</v>
      </c>
      <c r="G312">
        <v>2.9096146869999999</v>
      </c>
      <c r="H312">
        <v>2.6131755050000001</v>
      </c>
      <c r="I312">
        <v>2.3781282419999998</v>
      </c>
      <c r="L312">
        <v>1.0023981853360701E-3</v>
      </c>
      <c r="M312">
        <f t="shared" si="0"/>
        <v>5.2124705637475648</v>
      </c>
    </row>
    <row r="313" spans="1:13">
      <c r="A313" t="s">
        <v>311</v>
      </c>
      <c r="B313">
        <v>4.8254808000000002</v>
      </c>
      <c r="C313">
        <v>4.5637410630000002</v>
      </c>
      <c r="D313">
        <v>4.2891255460000002</v>
      </c>
      <c r="E313">
        <v>3.806762301</v>
      </c>
      <c r="F313">
        <v>3.2147432980000001</v>
      </c>
      <c r="G313">
        <v>2.7763276029999999</v>
      </c>
      <c r="H313">
        <v>2.4792848310000002</v>
      </c>
      <c r="I313">
        <v>2.2870511389999999</v>
      </c>
      <c r="L313">
        <v>9.5855345331261499E-4</v>
      </c>
      <c r="M313">
        <f t="shared" si="0"/>
        <v>4.9844779572255984</v>
      </c>
    </row>
    <row r="314" spans="1:13">
      <c r="A314" t="s">
        <v>312</v>
      </c>
      <c r="B314">
        <v>4.715347789</v>
      </c>
      <c r="C314">
        <v>4.4075672770000001</v>
      </c>
      <c r="D314">
        <v>4.1822243959999996</v>
      </c>
      <c r="E314">
        <v>3.6738232540000002</v>
      </c>
      <c r="F314">
        <v>2.9882826680000001</v>
      </c>
      <c r="G314">
        <v>2.5512586339999999</v>
      </c>
      <c r="H314">
        <v>2.2651183439999998</v>
      </c>
      <c r="I314">
        <v>2.0729141979999999</v>
      </c>
      <c r="L314">
        <v>9.3646064893076802E-4</v>
      </c>
      <c r="M314">
        <f t="shared" si="0"/>
        <v>4.869595374439994</v>
      </c>
    </row>
    <row r="315" spans="1:13">
      <c r="A315" t="s">
        <v>313</v>
      </c>
      <c r="B315">
        <v>4.8889441619999996</v>
      </c>
      <c r="C315">
        <v>4.3768704559999998</v>
      </c>
      <c r="D315">
        <v>4.0921001700000001</v>
      </c>
      <c r="E315">
        <v>3.5110499019999999</v>
      </c>
      <c r="F315">
        <v>2.8305121139999998</v>
      </c>
      <c r="G315">
        <v>2.3935625570000001</v>
      </c>
      <c r="H315">
        <v>2.148843598</v>
      </c>
      <c r="I315">
        <v>1.944949305</v>
      </c>
      <c r="L315">
        <v>9.7029170343174197E-4</v>
      </c>
      <c r="M315">
        <f t="shared" si="0"/>
        <v>5.0455168578450582</v>
      </c>
    </row>
    <row r="316" spans="1:13">
      <c r="A316" t="s">
        <v>314</v>
      </c>
      <c r="B316">
        <v>4.3689242210000003</v>
      </c>
      <c r="C316">
        <v>4.143904107</v>
      </c>
      <c r="D316">
        <v>3.7385748759999999</v>
      </c>
      <c r="E316">
        <v>3.2738487549999999</v>
      </c>
      <c r="F316">
        <v>2.6244685209999998</v>
      </c>
      <c r="G316">
        <v>2.186871456</v>
      </c>
      <c r="H316">
        <v>1.9312705969999999</v>
      </c>
      <c r="I316">
        <v>1.759419163</v>
      </c>
      <c r="L316">
        <v>8.6751938996096898E-4</v>
      </c>
      <c r="M316">
        <f t="shared" si="0"/>
        <v>4.5111008277970388</v>
      </c>
    </row>
    <row r="317" spans="1:13">
      <c r="A317" t="s">
        <v>315</v>
      </c>
      <c r="B317">
        <v>4.3217677139999999</v>
      </c>
      <c r="C317">
        <v>4.0813536470000003</v>
      </c>
      <c r="D317">
        <v>3.754144412</v>
      </c>
      <c r="E317">
        <v>3.3035765179999999</v>
      </c>
      <c r="F317">
        <v>2.6138137189999999</v>
      </c>
      <c r="G317">
        <v>2.2067943479999999</v>
      </c>
      <c r="H317">
        <v>1.961487494</v>
      </c>
      <c r="I317">
        <v>1.7895507420000001</v>
      </c>
      <c r="L317">
        <v>8.5791762508323E-4</v>
      </c>
      <c r="M317">
        <f t="shared" si="0"/>
        <v>4.4611716504327958</v>
      </c>
    </row>
    <row r="318" spans="1:13">
      <c r="A318" t="s">
        <v>316</v>
      </c>
      <c r="B318">
        <v>4.3213259629999996</v>
      </c>
      <c r="C318">
        <v>3.8941577490000001</v>
      </c>
      <c r="D318">
        <v>3.6154399399999999</v>
      </c>
      <c r="E318">
        <v>3.2778043389999998</v>
      </c>
      <c r="F318">
        <v>2.6188784690000002</v>
      </c>
      <c r="G318">
        <v>2.2116999490000002</v>
      </c>
      <c r="H318">
        <v>1.93535448</v>
      </c>
      <c r="I318">
        <v>1.752877604</v>
      </c>
      <c r="L318">
        <v>8.5752492102123305E-4</v>
      </c>
      <c r="M318">
        <f t="shared" si="0"/>
        <v>4.4591295893104119</v>
      </c>
    </row>
    <row r="319" spans="1:13">
      <c r="A319" t="s">
        <v>317</v>
      </c>
      <c r="B319">
        <v>4.4310822070000002</v>
      </c>
      <c r="C319">
        <v>4.1590479250000003</v>
      </c>
      <c r="D319">
        <v>3.7079134260000002</v>
      </c>
      <c r="E319">
        <v>3.2144604499999998</v>
      </c>
      <c r="F319">
        <v>2.7053036079999999</v>
      </c>
      <c r="G319">
        <v>2.266737182</v>
      </c>
      <c r="H319">
        <v>1.9588605429999999</v>
      </c>
      <c r="I319">
        <v>1.733308936</v>
      </c>
      <c r="L319">
        <v>8.7881884660196503E-4</v>
      </c>
      <c r="M319">
        <f t="shared" si="0"/>
        <v>4.5698580023302178</v>
      </c>
    </row>
    <row r="320" spans="1:13">
      <c r="A320" t="s">
        <v>318</v>
      </c>
      <c r="B320">
        <v>4.1478883</v>
      </c>
      <c r="C320">
        <v>3.815612223</v>
      </c>
      <c r="D320">
        <v>3.4623109969999999</v>
      </c>
      <c r="E320">
        <v>3.1588511079999999</v>
      </c>
      <c r="F320">
        <v>2.5928201880000001</v>
      </c>
      <c r="G320">
        <v>2.1941925549999999</v>
      </c>
      <c r="H320">
        <v>1.9063736179999999</v>
      </c>
      <c r="I320">
        <v>1.69102058</v>
      </c>
      <c r="L320">
        <v>8.22835285686487E-4</v>
      </c>
      <c r="M320">
        <f t="shared" si="0"/>
        <v>4.2787434855697324</v>
      </c>
    </row>
    <row r="321" spans="1:13">
      <c r="A321" t="s">
        <v>319</v>
      </c>
      <c r="B321">
        <v>4.0533691169999999</v>
      </c>
      <c r="C321">
        <v>3.8940046210000001</v>
      </c>
      <c r="D321">
        <v>3.5386169079999998</v>
      </c>
      <c r="E321">
        <v>3.1569423599999999</v>
      </c>
      <c r="F321">
        <v>2.6695874480000001</v>
      </c>
      <c r="G321">
        <v>2.2706516909999999</v>
      </c>
      <c r="H321">
        <v>1.9828177119999999</v>
      </c>
      <c r="I321">
        <v>1.778430717</v>
      </c>
      <c r="L321">
        <v>8.03986758895722E-4</v>
      </c>
      <c r="M321">
        <f t="shared" si="0"/>
        <v>4.1807311462577541</v>
      </c>
    </row>
    <row r="322" spans="1:13">
      <c r="A322" t="s">
        <v>320</v>
      </c>
      <c r="B322">
        <v>4.3532060000000001</v>
      </c>
      <c r="C322">
        <v>4.019117059</v>
      </c>
      <c r="D322">
        <v>3.7246336150000001</v>
      </c>
      <c r="E322">
        <v>3.2322126259999999</v>
      </c>
      <c r="F322">
        <v>2.62866036</v>
      </c>
      <c r="G322">
        <v>2.2205845800000001</v>
      </c>
      <c r="H322">
        <v>1.896879443</v>
      </c>
      <c r="I322">
        <v>1.681992881</v>
      </c>
      <c r="L322">
        <v>8.6265622966541305E-4</v>
      </c>
      <c r="M322">
        <f t="shared" si="0"/>
        <v>4.4858123942601482</v>
      </c>
    </row>
    <row r="323" spans="1:13">
      <c r="A323" t="s">
        <v>321</v>
      </c>
      <c r="B323">
        <v>4.5421175890000001</v>
      </c>
      <c r="C323">
        <v>4.1753928140000003</v>
      </c>
      <c r="D323">
        <v>3.8318136840000001</v>
      </c>
      <c r="E323">
        <v>3.3223997239999998</v>
      </c>
      <c r="F323">
        <v>2.6947913739999998</v>
      </c>
      <c r="G323">
        <v>2.2870390899999999</v>
      </c>
      <c r="H323">
        <v>1.99474822</v>
      </c>
      <c r="I323">
        <v>1.7583945350000001</v>
      </c>
      <c r="L323">
        <v>8.9950449179552799E-4</v>
      </c>
      <c r="M323">
        <f t="shared" si="0"/>
        <v>4.6774233573367452</v>
      </c>
    </row>
    <row r="324" spans="1:13">
      <c r="A324" t="s">
        <v>322</v>
      </c>
      <c r="B324">
        <v>4.4008669559999998</v>
      </c>
      <c r="C324">
        <v>4.129986551</v>
      </c>
      <c r="D324">
        <v>3.7257859180000001</v>
      </c>
      <c r="E324">
        <v>3.2669157499999999</v>
      </c>
      <c r="F324">
        <v>2.5546256509999998</v>
      </c>
      <c r="G324">
        <v>2.1678416660000002</v>
      </c>
      <c r="H324">
        <v>1.8759372750000001</v>
      </c>
      <c r="I324">
        <v>1.6615540820000001</v>
      </c>
      <c r="L324">
        <v>8.71494382660879E-4</v>
      </c>
      <c r="M324">
        <f t="shared" si="0"/>
        <v>4.5317707898365711</v>
      </c>
    </row>
    <row r="325" spans="1:13">
      <c r="A325" t="s">
        <v>323</v>
      </c>
      <c r="B325">
        <v>4.2431910369999999</v>
      </c>
      <c r="C325">
        <v>4.0051469669999999</v>
      </c>
      <c r="D325">
        <v>3.680374214</v>
      </c>
      <c r="E325">
        <v>3.1617179929999999</v>
      </c>
      <c r="F325">
        <v>2.4213895619999999</v>
      </c>
      <c r="G325">
        <v>2.014764832</v>
      </c>
      <c r="H325">
        <v>1.7333260150000001</v>
      </c>
      <c r="I325">
        <v>1.518732923</v>
      </c>
      <c r="L325">
        <v>8.4028297663268404E-4</v>
      </c>
      <c r="M325">
        <f t="shared" si="0"/>
        <v>4.3694714784899569</v>
      </c>
    </row>
    <row r="326" spans="1:13">
      <c r="A326" t="s">
        <v>324</v>
      </c>
      <c r="B326">
        <v>4.4634329580000003</v>
      </c>
      <c r="C326">
        <v>4.2061262890000002</v>
      </c>
      <c r="D326">
        <v>3.8930197579999999</v>
      </c>
      <c r="E326">
        <v>3.4272843669999999</v>
      </c>
      <c r="F326">
        <v>2.6247224400000002</v>
      </c>
      <c r="G326">
        <v>2.1989472179999998</v>
      </c>
      <c r="H326">
        <v>1.887217138</v>
      </c>
      <c r="I326">
        <v>1.6629023730000001</v>
      </c>
      <c r="L326">
        <v>8.8327625702058798E-4</v>
      </c>
      <c r="M326">
        <f t="shared" si="0"/>
        <v>4.5930365365070571</v>
      </c>
    </row>
    <row r="327" spans="1:13">
      <c r="A327" t="s">
        <v>325</v>
      </c>
      <c r="B327">
        <v>4.3656632330000003</v>
      </c>
      <c r="C327">
        <v>4.133286429</v>
      </c>
      <c r="D327">
        <v>3.8751649600000002</v>
      </c>
      <c r="E327">
        <v>3.56187706</v>
      </c>
      <c r="F327">
        <v>2.757315084</v>
      </c>
      <c r="G327">
        <v>2.3612541810000001</v>
      </c>
      <c r="H327">
        <v>2.0595745430000001</v>
      </c>
      <c r="I327">
        <v>1.8137506320000001</v>
      </c>
      <c r="L327">
        <v>8.63847978289183E-4</v>
      </c>
      <c r="M327">
        <f t="shared" si="0"/>
        <v>4.4920094871037515</v>
      </c>
    </row>
    <row r="328" spans="1:13">
      <c r="A328" t="s">
        <v>326</v>
      </c>
      <c r="B328">
        <v>4.3656438949999998</v>
      </c>
      <c r="C328">
        <v>4.1633102900000001</v>
      </c>
      <c r="D328">
        <v>3.8856274389999998</v>
      </c>
      <c r="E328">
        <v>3.4340372709999998</v>
      </c>
      <c r="F328">
        <v>2.7899980420000001</v>
      </c>
      <c r="G328">
        <v>2.4135887189999998</v>
      </c>
      <c r="H328">
        <v>2.1323186939999998</v>
      </c>
      <c r="I328">
        <v>1.9184701150000001</v>
      </c>
      <c r="L328">
        <v>8.6361315315027496E-4</v>
      </c>
      <c r="M328">
        <f t="shared" si="0"/>
        <v>4.4907883963814301</v>
      </c>
    </row>
    <row r="329" spans="1:13">
      <c r="A329" t="s">
        <v>327</v>
      </c>
      <c r="B329">
        <v>4.4513784090000001</v>
      </c>
      <c r="C329">
        <v>4.1677148270000002</v>
      </c>
      <c r="D329">
        <v>4.0321499520000001</v>
      </c>
      <c r="E329">
        <v>3.604293234</v>
      </c>
      <c r="F329">
        <v>3.0248891570000001</v>
      </c>
      <c r="G329">
        <v>2.6677504660000002</v>
      </c>
      <c r="H329">
        <v>2.3756962439999998</v>
      </c>
      <c r="I329">
        <v>2.1402814079999999</v>
      </c>
      <c r="L329">
        <v>8.8020321327947001E-4</v>
      </c>
      <c r="M329">
        <f t="shared" si="0"/>
        <v>4.5770567090532444</v>
      </c>
    </row>
    <row r="330" spans="1:13">
      <c r="A330" t="s">
        <v>328</v>
      </c>
      <c r="B330">
        <v>4.1940470620000001</v>
      </c>
      <c r="C330">
        <v>4.0076578219999996</v>
      </c>
      <c r="D330">
        <v>3.7697295940000002</v>
      </c>
      <c r="E330">
        <v>3.416820983</v>
      </c>
      <c r="F330">
        <v>2.9900308039999999</v>
      </c>
      <c r="G330">
        <v>2.6212496340000002</v>
      </c>
      <c r="H330">
        <v>2.3180557679999998</v>
      </c>
      <c r="I330">
        <v>2.0930939319999999</v>
      </c>
      <c r="L330">
        <v>8.2952277341229804E-4</v>
      </c>
      <c r="M330">
        <f t="shared" si="0"/>
        <v>4.3135184217439502</v>
      </c>
    </row>
    <row r="331" spans="1:13">
      <c r="A331" t="s">
        <v>329</v>
      </c>
      <c r="B331">
        <v>4.2998795420000002</v>
      </c>
      <c r="C331">
        <v>4.1124470190000002</v>
      </c>
      <c r="D331">
        <v>3.9419338979999998</v>
      </c>
      <c r="E331">
        <v>3.6619963790000001</v>
      </c>
      <c r="F331">
        <v>3.2512546360000001</v>
      </c>
      <c r="G331">
        <v>2.8822733249999999</v>
      </c>
      <c r="H331">
        <v>2.5998203210000002</v>
      </c>
      <c r="I331">
        <v>2.36364588</v>
      </c>
      <c r="L331">
        <v>8.5006406076551305E-4</v>
      </c>
      <c r="M331">
        <f t="shared" si="0"/>
        <v>4.420333115980668</v>
      </c>
    </row>
    <row r="332" spans="1:13">
      <c r="A332" t="s">
        <v>330</v>
      </c>
      <c r="B332">
        <v>4.3201769360000002</v>
      </c>
      <c r="C332">
        <v>4.2075313769999996</v>
      </c>
      <c r="D332">
        <v>3.9664871420000001</v>
      </c>
      <c r="E332">
        <v>3.6206485270000002</v>
      </c>
      <c r="F332">
        <v>3.1909865669999999</v>
      </c>
      <c r="G332">
        <v>2.802035826</v>
      </c>
      <c r="H332">
        <v>2.5403226820000002</v>
      </c>
      <c r="I332">
        <v>2.336270796</v>
      </c>
      <c r="L332">
        <v>8.5383716725196898E-4</v>
      </c>
      <c r="M332">
        <f t="shared" si="0"/>
        <v>4.4399532697102391</v>
      </c>
    </row>
    <row r="333" spans="1:13">
      <c r="A333" t="s">
        <v>331</v>
      </c>
      <c r="B333">
        <v>4.2291351089999996</v>
      </c>
      <c r="C333">
        <v>4.2366498650000004</v>
      </c>
      <c r="D333">
        <v>4.0874106609999998</v>
      </c>
      <c r="E333">
        <v>3.8183163160000002</v>
      </c>
      <c r="F333">
        <v>3.2396430249999999</v>
      </c>
      <c r="G333">
        <v>2.8519060980000002</v>
      </c>
      <c r="H333">
        <v>2.528502461</v>
      </c>
      <c r="I333">
        <v>2.2821665599999998</v>
      </c>
      <c r="L333">
        <v>8.3579817274718603E-4</v>
      </c>
      <c r="M333">
        <f t="shared" si="0"/>
        <v>4.3461504982853674</v>
      </c>
    </row>
    <row r="334" spans="1:13">
      <c r="A334" t="s">
        <v>332</v>
      </c>
      <c r="B334">
        <v>4.0692504720000002</v>
      </c>
      <c r="C334">
        <v>4.2211608309999997</v>
      </c>
      <c r="D334">
        <v>4.0740076639999998</v>
      </c>
      <c r="E334">
        <v>3.698327602</v>
      </c>
      <c r="F334">
        <v>3.2544252939999998</v>
      </c>
      <c r="G334">
        <v>2.8655338879999999</v>
      </c>
      <c r="H334">
        <v>2.572632322</v>
      </c>
      <c r="I334">
        <v>2.3257393460000002</v>
      </c>
      <c r="L334">
        <v>8.0428667786152698E-4</v>
      </c>
      <c r="M334">
        <f t="shared" ref="M334:M397" si="1">L334*5200</f>
        <v>4.1822907248799401</v>
      </c>
    </row>
    <row r="335" spans="1:13">
      <c r="A335" t="s">
        <v>333</v>
      </c>
      <c r="B335">
        <v>4.2113150900000003</v>
      </c>
      <c r="C335">
        <v>4.2214258750000004</v>
      </c>
      <c r="D335">
        <v>4.1514065990000004</v>
      </c>
      <c r="E335">
        <v>3.7749102510000001</v>
      </c>
      <c r="F335">
        <v>3.350069226</v>
      </c>
      <c r="G335">
        <v>2.9806231329999999</v>
      </c>
      <c r="H335">
        <v>2.6351640860000001</v>
      </c>
      <c r="I335">
        <v>2.3778817139999999</v>
      </c>
      <c r="L335">
        <v>8.3192982745787405E-4</v>
      </c>
      <c r="M335">
        <f t="shared" si="1"/>
        <v>4.3260351027809447</v>
      </c>
    </row>
    <row r="336" spans="1:13">
      <c r="A336" t="s">
        <v>334</v>
      </c>
      <c r="B336">
        <v>4.0221402150000003</v>
      </c>
      <c r="C336">
        <v>3.909642506</v>
      </c>
      <c r="D336">
        <v>3.7835334779999998</v>
      </c>
      <c r="E336">
        <v>3.5110499019999999</v>
      </c>
      <c r="F336">
        <v>2.9554051750000001</v>
      </c>
      <c r="G336">
        <v>2.58730065</v>
      </c>
      <c r="H336">
        <v>2.2736552109999999</v>
      </c>
      <c r="I336">
        <v>2.0376947009999999</v>
      </c>
      <c r="L336">
        <v>7.9470706318295005E-4</v>
      </c>
      <c r="M336">
        <f t="shared" si="1"/>
        <v>4.1324767285513406</v>
      </c>
    </row>
    <row r="337" spans="1:13">
      <c r="A337" t="s">
        <v>335</v>
      </c>
      <c r="B337">
        <v>3.8646641779999999</v>
      </c>
      <c r="C337">
        <v>3.738882431</v>
      </c>
      <c r="D337">
        <v>3.6469563659999999</v>
      </c>
      <c r="E337">
        <v>3.2718740739999999</v>
      </c>
      <c r="F337">
        <v>2.8466704630000002</v>
      </c>
      <c r="G337">
        <v>2.4876196240000001</v>
      </c>
      <c r="H337">
        <v>2.2044782810000001</v>
      </c>
      <c r="I337">
        <v>1.9999057499999999</v>
      </c>
      <c r="L337">
        <v>7.6370992794626497E-4</v>
      </c>
      <c r="M337">
        <f t="shared" si="1"/>
        <v>3.9712916253205779</v>
      </c>
    </row>
    <row r="338" spans="1:13">
      <c r="A338" t="s">
        <v>336</v>
      </c>
      <c r="B338">
        <v>3.8646136709999999</v>
      </c>
      <c r="C338">
        <v>3.7549685209999999</v>
      </c>
      <c r="D338">
        <v>3.6160969079999998</v>
      </c>
      <c r="E338">
        <v>3.3624056320000002</v>
      </c>
      <c r="F338">
        <v>2.9606138180000001</v>
      </c>
      <c r="G338">
        <v>2.6212250789999998</v>
      </c>
      <c r="H338">
        <v>2.348185178</v>
      </c>
      <c r="I338">
        <v>2.1220955109999999</v>
      </c>
      <c r="L338">
        <v>7.6354122599980401E-4</v>
      </c>
      <c r="M338">
        <f t="shared" si="1"/>
        <v>3.9704143751989807</v>
      </c>
    </row>
    <row r="339" spans="1:13">
      <c r="A339" t="s">
        <v>337</v>
      </c>
      <c r="B339">
        <v>3.9436918840000001</v>
      </c>
      <c r="C339">
        <v>3.7543811790000001</v>
      </c>
      <c r="D339">
        <v>3.599873815</v>
      </c>
      <c r="E339">
        <v>3.3163891570000001</v>
      </c>
      <c r="F339">
        <v>2.9230794059999998</v>
      </c>
      <c r="G339">
        <v>2.583993317</v>
      </c>
      <c r="H339">
        <v>2.3317995169999999</v>
      </c>
      <c r="I339">
        <v>2.1163550619999998</v>
      </c>
      <c r="L339">
        <v>7.7886027041583505E-4</v>
      </c>
      <c r="M339">
        <f t="shared" si="1"/>
        <v>4.0500734061623422</v>
      </c>
    </row>
    <row r="340" spans="1:13">
      <c r="A340" t="s">
        <v>338</v>
      </c>
      <c r="B340">
        <v>3.9597767199999998</v>
      </c>
      <c r="C340">
        <v>3.7077887359999999</v>
      </c>
      <c r="D340">
        <v>3.3996926360000002</v>
      </c>
      <c r="E340">
        <v>3.1383035650000002</v>
      </c>
      <c r="F340">
        <v>2.8324146429999999</v>
      </c>
      <c r="G340">
        <v>2.5025238650000001</v>
      </c>
      <c r="H340">
        <v>2.2186273330000001</v>
      </c>
      <c r="I340">
        <v>1.9923652789999999</v>
      </c>
      <c r="L340">
        <v>7.8185254982484297E-4</v>
      </c>
      <c r="M340">
        <f t="shared" si="1"/>
        <v>4.065633259089183</v>
      </c>
    </row>
    <row r="341" spans="1:13">
      <c r="A341" t="s">
        <v>339</v>
      </c>
      <c r="B341">
        <v>3.849244535</v>
      </c>
      <c r="C341">
        <v>3.6769360629999999</v>
      </c>
      <c r="D341">
        <v>3.4929063500000002</v>
      </c>
      <c r="E341">
        <v>3.1837425229999998</v>
      </c>
      <c r="F341">
        <v>2.764453498</v>
      </c>
      <c r="G341">
        <v>2.4560256790000001</v>
      </c>
      <c r="H341">
        <v>2.1623172620000002</v>
      </c>
      <c r="I341">
        <v>1.9259026509999999</v>
      </c>
      <c r="L341">
        <v>7.6008029078475804E-4</v>
      </c>
      <c r="M341">
        <f t="shared" si="1"/>
        <v>3.9524175120807419</v>
      </c>
    </row>
    <row r="342" spans="1:13">
      <c r="A342" t="s">
        <v>340</v>
      </c>
      <c r="B342">
        <v>3.6445459109999998</v>
      </c>
      <c r="C342">
        <v>3.4900376259999999</v>
      </c>
      <c r="D342">
        <v>3.3702982879999999</v>
      </c>
      <c r="E342">
        <v>3.0658821449999998</v>
      </c>
      <c r="F342">
        <v>2.573261467</v>
      </c>
      <c r="G342">
        <v>2.2346562350000001</v>
      </c>
      <c r="H342">
        <v>1.961794584</v>
      </c>
      <c r="I342">
        <v>1.724620032</v>
      </c>
      <c r="L342">
        <v>7.1990383250450504E-4</v>
      </c>
      <c r="M342">
        <f t="shared" si="1"/>
        <v>3.7434999290234261</v>
      </c>
    </row>
    <row r="343" spans="1:13">
      <c r="A343" t="s">
        <v>341</v>
      </c>
      <c r="B343">
        <v>3.8652736939999999</v>
      </c>
      <c r="C343">
        <v>3.7867545169999999</v>
      </c>
      <c r="D343">
        <v>3.6480834949999998</v>
      </c>
      <c r="E343">
        <v>3.2441112140000001</v>
      </c>
      <c r="F343">
        <v>2.7610388700000001</v>
      </c>
      <c r="G343">
        <v>2.3820649559999998</v>
      </c>
      <c r="H343">
        <v>2.109544997</v>
      </c>
      <c r="I343">
        <v>1.8835216910000001</v>
      </c>
      <c r="L343">
        <v>7.6292943884451896E-4</v>
      </c>
      <c r="M343">
        <f t="shared" si="1"/>
        <v>3.9672330819914987</v>
      </c>
    </row>
    <row r="344" spans="1:13">
      <c r="A344" t="s">
        <v>342</v>
      </c>
      <c r="B344">
        <v>3.8494968749999998</v>
      </c>
      <c r="C344">
        <v>3.8178513449999998</v>
      </c>
      <c r="D344">
        <v>3.5865256209999998</v>
      </c>
      <c r="E344">
        <v>3.1977006750000001</v>
      </c>
      <c r="F344">
        <v>2.7045199520000001</v>
      </c>
      <c r="G344">
        <v>2.3264169520000002</v>
      </c>
      <c r="H344">
        <v>2.054408096</v>
      </c>
      <c r="I344">
        <v>1.83939857</v>
      </c>
      <c r="L344">
        <v>7.5970677869190801E-4</v>
      </c>
      <c r="M344">
        <f t="shared" si="1"/>
        <v>3.9504752491979218</v>
      </c>
    </row>
    <row r="345" spans="1:13">
      <c r="A345" t="s">
        <v>343</v>
      </c>
      <c r="B345">
        <v>3.9282262370000001</v>
      </c>
      <c r="C345">
        <v>3.7702682080000001</v>
      </c>
      <c r="D345">
        <v>3.646674414</v>
      </c>
      <c r="E345">
        <v>3.3777168940000002</v>
      </c>
      <c r="F345">
        <v>2.8261175070000002</v>
      </c>
      <c r="G345">
        <v>2.4285726030000001</v>
      </c>
      <c r="H345">
        <v>2.126143109</v>
      </c>
      <c r="I345">
        <v>1.8906901009999999</v>
      </c>
      <c r="L345">
        <v>7.7496044635625805E-4</v>
      </c>
      <c r="M345">
        <f t="shared" si="1"/>
        <v>4.0297943210525418</v>
      </c>
    </row>
    <row r="346" spans="1:13">
      <c r="A346" t="s">
        <v>344</v>
      </c>
      <c r="B346">
        <v>3.865476734</v>
      </c>
      <c r="C346">
        <v>3.7869025569999999</v>
      </c>
      <c r="D346">
        <v>3.5712286459999998</v>
      </c>
      <c r="E346">
        <v>3.1699673449999999</v>
      </c>
      <c r="F346">
        <v>2.5328280190000001</v>
      </c>
      <c r="G346">
        <v>2.1361607540000001</v>
      </c>
      <c r="H346">
        <v>1.8443830960000001</v>
      </c>
      <c r="I346">
        <v>1.6195258189999999</v>
      </c>
      <c r="L346">
        <v>7.6256298551572799E-4</v>
      </c>
      <c r="M346">
        <f t="shared" si="1"/>
        <v>3.9653275246817854</v>
      </c>
    </row>
    <row r="347" spans="1:13">
      <c r="A347" t="s">
        <v>345</v>
      </c>
      <c r="B347">
        <v>3.8022181750000001</v>
      </c>
      <c r="C347">
        <v>3.614957918</v>
      </c>
      <c r="D347">
        <v>3.4477127040000002</v>
      </c>
      <c r="E347">
        <v>3.067640656</v>
      </c>
      <c r="F347">
        <v>2.3528013379999999</v>
      </c>
      <c r="G347">
        <v>1.9465213189999999</v>
      </c>
      <c r="H347">
        <v>1.685998272</v>
      </c>
      <c r="I347">
        <v>1.4714065679999999</v>
      </c>
      <c r="L347">
        <v>7.5007312276506501E-4</v>
      </c>
      <c r="M347">
        <f t="shared" si="1"/>
        <v>3.9003802383783381</v>
      </c>
    </row>
    <row r="348" spans="1:13">
      <c r="A348" t="s">
        <v>346</v>
      </c>
      <c r="B348">
        <v>3.8177928109999999</v>
      </c>
      <c r="C348">
        <v>3.723871693</v>
      </c>
      <c r="D348">
        <v>3.4637478970000002</v>
      </c>
      <c r="E348">
        <v>3.0360826859999999</v>
      </c>
      <c r="F348">
        <v>2.333774284</v>
      </c>
      <c r="G348">
        <v>1.9378600539999999</v>
      </c>
      <c r="H348">
        <v>1.6670943030000001</v>
      </c>
      <c r="I348">
        <v>1.4634793930000001</v>
      </c>
      <c r="L348">
        <v>7.5299100137791704E-4</v>
      </c>
      <c r="M348">
        <f t="shared" si="1"/>
        <v>3.9155532071651686</v>
      </c>
    </row>
    <row r="349" spans="1:13">
      <c r="A349" t="s">
        <v>347</v>
      </c>
      <c r="B349">
        <v>3.8650699909999999</v>
      </c>
      <c r="C349">
        <v>3.723871693</v>
      </c>
      <c r="D349">
        <v>3.5094860410000002</v>
      </c>
      <c r="E349">
        <v>3.1435220080000001</v>
      </c>
      <c r="F349">
        <v>2.283650765</v>
      </c>
      <c r="G349">
        <v>1.8489226620000001</v>
      </c>
      <c r="H349">
        <v>1.568974452</v>
      </c>
      <c r="I349">
        <v>1.344902789</v>
      </c>
      <c r="L349">
        <v>7.6210289934812599E-4</v>
      </c>
      <c r="M349">
        <f t="shared" si="1"/>
        <v>3.9629350766102553</v>
      </c>
    </row>
    <row r="350" spans="1:13">
      <c r="A350" t="s">
        <v>348</v>
      </c>
      <c r="B350">
        <v>3.880795794</v>
      </c>
      <c r="C350">
        <v>3.676691908</v>
      </c>
      <c r="D350">
        <v>3.6004290449999998</v>
      </c>
      <c r="E350">
        <v>3.0351642170000002</v>
      </c>
      <c r="F350">
        <v>2.3124160159999998</v>
      </c>
      <c r="G350">
        <v>1.886598402</v>
      </c>
      <c r="H350">
        <v>1.595687673</v>
      </c>
      <c r="I350">
        <v>1.39269303</v>
      </c>
      <c r="L350">
        <v>7.6505249285790597E-4</v>
      </c>
      <c r="M350">
        <f t="shared" si="1"/>
        <v>3.9782729628611109</v>
      </c>
    </row>
    <row r="351" spans="1:13">
      <c r="A351" t="s">
        <v>349</v>
      </c>
      <c r="B351">
        <v>3.8966217049999998</v>
      </c>
      <c r="C351">
        <v>3.7077887359999999</v>
      </c>
      <c r="D351">
        <v>3.4773402259999999</v>
      </c>
      <c r="E351">
        <v>3.0212279999999998</v>
      </c>
      <c r="F351">
        <v>2.118587969</v>
      </c>
      <c r="G351">
        <v>1.654164422</v>
      </c>
      <c r="H351">
        <v>1.374718712</v>
      </c>
      <c r="I351">
        <v>1.161550012</v>
      </c>
      <c r="L351">
        <v>7.6802316419490502E-4</v>
      </c>
      <c r="M351">
        <f t="shared" si="1"/>
        <v>3.993720453813506</v>
      </c>
    </row>
    <row r="352" spans="1:13">
      <c r="A352" t="s">
        <v>350</v>
      </c>
      <c r="B352">
        <v>3.7860902740000002</v>
      </c>
      <c r="C352">
        <v>3.613544294</v>
      </c>
      <c r="D352">
        <v>3.368474816</v>
      </c>
      <c r="E352">
        <v>2.912146119</v>
      </c>
      <c r="F352">
        <v>2.1087554310000001</v>
      </c>
      <c r="G352">
        <v>1.6738149019999999</v>
      </c>
      <c r="H352">
        <v>1.404039351</v>
      </c>
      <c r="I352">
        <v>1.201008855</v>
      </c>
      <c r="L352">
        <v>7.4632578117436895E-4</v>
      </c>
      <c r="M352">
        <f t="shared" si="1"/>
        <v>3.8808940621067185</v>
      </c>
    </row>
    <row r="353" spans="1:13">
      <c r="A353" t="s">
        <v>351</v>
      </c>
      <c r="B353">
        <v>3.7702655749999998</v>
      </c>
      <c r="C353">
        <v>3.566380857</v>
      </c>
      <c r="D353">
        <v>3.3672746949999999</v>
      </c>
      <c r="E353">
        <v>2.8785366890000001</v>
      </c>
      <c r="F353">
        <v>2.2132811280000002</v>
      </c>
      <c r="G353">
        <v>1.8371657640000001</v>
      </c>
      <c r="H353">
        <v>1.586613711</v>
      </c>
      <c r="I353">
        <v>1.3930310109999999</v>
      </c>
      <c r="L353">
        <v>7.4312466757727803E-4</v>
      </c>
      <c r="M353">
        <f t="shared" si="1"/>
        <v>3.8642482714018458</v>
      </c>
    </row>
    <row r="354" spans="1:13">
      <c r="A354" t="s">
        <v>352</v>
      </c>
      <c r="B354">
        <v>3.8650203740000002</v>
      </c>
      <c r="C354">
        <v>3.676548478</v>
      </c>
      <c r="D354">
        <v>3.521963392</v>
      </c>
      <c r="E354">
        <v>3.0449575850000001</v>
      </c>
      <c r="F354">
        <v>2.1795883310000002</v>
      </c>
      <c r="G354">
        <v>1.794823002</v>
      </c>
      <c r="H354">
        <v>1.5450625769999999</v>
      </c>
      <c r="I354">
        <v>1.3520173259999999</v>
      </c>
      <c r="L354">
        <v>7.6150937664320301E-4</v>
      </c>
      <c r="M354">
        <f t="shared" si="1"/>
        <v>3.9598487585446556</v>
      </c>
    </row>
    <row r="355" spans="1:13">
      <c r="A355" t="s">
        <v>353</v>
      </c>
      <c r="B355">
        <v>3.6441570589999999</v>
      </c>
      <c r="C355">
        <v>3.5820682420000001</v>
      </c>
      <c r="D355">
        <v>3.3059980119999999</v>
      </c>
      <c r="E355">
        <v>2.9090716049999998</v>
      </c>
      <c r="F355">
        <v>2.0279048940000002</v>
      </c>
      <c r="G355">
        <v>1.673676653</v>
      </c>
      <c r="H355">
        <v>1.4340942210000001</v>
      </c>
      <c r="I355">
        <v>1.251456798</v>
      </c>
      <c r="L355">
        <v>7.1829810771498301E-4</v>
      </c>
      <c r="M355">
        <f t="shared" si="1"/>
        <v>3.7351501601179118</v>
      </c>
    </row>
    <row r="356" spans="1:13">
      <c r="A356" t="s">
        <v>354</v>
      </c>
      <c r="B356">
        <v>3.7545897780000002</v>
      </c>
      <c r="C356">
        <v>3.5509714140000002</v>
      </c>
      <c r="D356">
        <v>3.2903468889999998</v>
      </c>
      <c r="E356">
        <v>2.8785366890000001</v>
      </c>
      <c r="F356">
        <v>2.046493838</v>
      </c>
      <c r="G356">
        <v>1.6915268409999999</v>
      </c>
      <c r="H356">
        <v>1.4722189960000001</v>
      </c>
      <c r="I356">
        <v>1.299616163</v>
      </c>
      <c r="L356">
        <v>7.3974435857140496E-4</v>
      </c>
      <c r="M356">
        <f t="shared" si="1"/>
        <v>3.8466706645713056</v>
      </c>
    </row>
    <row r="357" spans="1:13">
      <c r="A357" t="s">
        <v>355</v>
      </c>
      <c r="B357">
        <v>3.7073126969999999</v>
      </c>
      <c r="C357">
        <v>3.519773357</v>
      </c>
      <c r="D357">
        <v>3.2290522890000002</v>
      </c>
      <c r="E357">
        <v>2.820796541</v>
      </c>
      <c r="F357">
        <v>1.8552565620000001</v>
      </c>
      <c r="G357">
        <v>1.4812856109999999</v>
      </c>
      <c r="H357">
        <v>1.252309186</v>
      </c>
      <c r="I357">
        <v>1.0801494169999999</v>
      </c>
      <c r="L357">
        <v>7.3041821138106395E-4</v>
      </c>
      <c r="M357">
        <f t="shared" si="1"/>
        <v>3.7981746991815326</v>
      </c>
    </row>
    <row r="358" spans="1:13">
      <c r="A358" t="s">
        <v>356</v>
      </c>
      <c r="B358">
        <v>3.8492945719999998</v>
      </c>
      <c r="C358">
        <v>3.660569782</v>
      </c>
      <c r="D358">
        <v>3.260155862</v>
      </c>
      <c r="E358">
        <v>2.7306454090000001</v>
      </c>
      <c r="F358">
        <v>1.868753192</v>
      </c>
      <c r="G358">
        <v>1.4741481940000001</v>
      </c>
      <c r="H358">
        <v>1.2451078630000001</v>
      </c>
      <c r="I358">
        <v>1.0836314499999999</v>
      </c>
      <c r="L358">
        <v>7.5801493324516604E-4</v>
      </c>
      <c r="M358">
        <f t="shared" si="1"/>
        <v>3.9416776528748634</v>
      </c>
    </row>
    <row r="359" spans="1:13">
      <c r="A359" t="s">
        <v>357</v>
      </c>
      <c r="B359">
        <v>3.5339174180000001</v>
      </c>
      <c r="C359">
        <v>3.3015857149999999</v>
      </c>
      <c r="D359">
        <v>2.9832230719999999</v>
      </c>
      <c r="E359">
        <v>2.2373219959999999</v>
      </c>
      <c r="F359">
        <v>1.435307707</v>
      </c>
      <c r="G359">
        <v>1.1100298749999999</v>
      </c>
      <c r="H359">
        <v>0.95187471199999996</v>
      </c>
      <c r="I359">
        <v>0.84171075299999998</v>
      </c>
      <c r="L359">
        <v>6.9640192433479396E-4</v>
      </c>
      <c r="M359">
        <f t="shared" si="1"/>
        <v>3.6212900065409284</v>
      </c>
    </row>
    <row r="360" spans="1:13">
      <c r="A360" t="s">
        <v>358</v>
      </c>
      <c r="B360">
        <v>3.313301483</v>
      </c>
      <c r="C360">
        <v>3.0208275850000001</v>
      </c>
      <c r="D360">
        <v>2.7539931489999998</v>
      </c>
      <c r="E360">
        <v>1.9978487119999999</v>
      </c>
      <c r="F360">
        <v>1.1889379339999999</v>
      </c>
      <c r="G360">
        <v>0.90362387099999997</v>
      </c>
      <c r="H360">
        <v>0.75517503200000002</v>
      </c>
      <c r="I360">
        <v>0.65503634600000005</v>
      </c>
      <c r="L360">
        <v>6.5328698794524503E-4</v>
      </c>
      <c r="M360">
        <f t="shared" si="1"/>
        <v>3.3970923373152742</v>
      </c>
    </row>
    <row r="361" spans="1:13">
      <c r="A361" t="s">
        <v>359</v>
      </c>
      <c r="B361">
        <v>3.5968753499999999</v>
      </c>
      <c r="C361">
        <v>3.2071490379999998</v>
      </c>
      <c r="D361">
        <v>2.859119384</v>
      </c>
      <c r="E361">
        <v>2.0998540139999999</v>
      </c>
      <c r="F361">
        <v>1.281875461</v>
      </c>
      <c r="G361">
        <v>0.98707485500000003</v>
      </c>
      <c r="H361">
        <v>0.83906637100000003</v>
      </c>
      <c r="I361">
        <v>0.76057174100000002</v>
      </c>
      <c r="L361">
        <v>7.0849736792001801E-4</v>
      </c>
      <c r="M361">
        <f t="shared" si="1"/>
        <v>3.6841863131840937</v>
      </c>
    </row>
    <row r="362" spans="1:13">
      <c r="A362" t="s">
        <v>360</v>
      </c>
      <c r="B362">
        <v>3.6916355460000001</v>
      </c>
      <c r="C362">
        <v>3.2075010310000001</v>
      </c>
      <c r="D362">
        <v>2.8448969220000002</v>
      </c>
      <c r="E362">
        <v>1.905062649</v>
      </c>
      <c r="F362">
        <v>1.1896603800000001</v>
      </c>
      <c r="G362">
        <v>0.88388460899999999</v>
      </c>
      <c r="H362">
        <v>0.70450206100000001</v>
      </c>
      <c r="I362">
        <v>0.59409768600000001</v>
      </c>
      <c r="L362">
        <v>7.2688296222738001E-4</v>
      </c>
      <c r="M362">
        <f t="shared" si="1"/>
        <v>3.7797914035823759</v>
      </c>
    </row>
    <row r="363" spans="1:13">
      <c r="A363" t="s">
        <v>361</v>
      </c>
      <c r="B363">
        <v>3.281235906</v>
      </c>
      <c r="C363">
        <v>2.8472250360000002</v>
      </c>
      <c r="D363">
        <v>2.3645515650000002</v>
      </c>
      <c r="E363">
        <v>1.6159261519999999</v>
      </c>
      <c r="F363">
        <v>0.882119129</v>
      </c>
      <c r="G363">
        <v>0.60668798499999999</v>
      </c>
      <c r="H363">
        <v>0.47861817400000001</v>
      </c>
      <c r="I363">
        <v>0.39922059900000001</v>
      </c>
      <c r="L363">
        <v>6.4678869769158802E-4</v>
      </c>
      <c r="M363">
        <f t="shared" si="1"/>
        <v>3.3633012279962577</v>
      </c>
    </row>
    <row r="364" spans="1:13">
      <c r="A364" t="s">
        <v>362</v>
      </c>
      <c r="B364">
        <v>3.1862412020000002</v>
      </c>
      <c r="C364">
        <v>2.7835607449999999</v>
      </c>
      <c r="D364">
        <v>2.301130203</v>
      </c>
      <c r="E364">
        <v>1.461984312</v>
      </c>
      <c r="F364">
        <v>0.89345854899999999</v>
      </c>
      <c r="G364">
        <v>0.61689976700000004</v>
      </c>
      <c r="H364">
        <v>0.47798132399999999</v>
      </c>
      <c r="I364">
        <v>0.40911078899999997</v>
      </c>
      <c r="L364">
        <v>6.2819379592572602E-4</v>
      </c>
      <c r="M364">
        <f t="shared" si="1"/>
        <v>3.2666077388137755</v>
      </c>
    </row>
    <row r="365" spans="1:13">
      <c r="A365" t="s">
        <v>363</v>
      </c>
      <c r="B365">
        <v>3.2334815749999999</v>
      </c>
      <c r="C365">
        <v>2.7989091359999998</v>
      </c>
      <c r="D365">
        <v>2.3322495179999998</v>
      </c>
      <c r="E365">
        <v>1.6139771279999999</v>
      </c>
      <c r="F365">
        <v>1.00831095</v>
      </c>
      <c r="G365">
        <v>0.73206515999999999</v>
      </c>
      <c r="H365">
        <v>0.60362428599999995</v>
      </c>
      <c r="I365">
        <v>0.51339448799999998</v>
      </c>
      <c r="L365">
        <v>6.3732562963643902E-4</v>
      </c>
      <c r="M365">
        <f t="shared" si="1"/>
        <v>3.3140932741094828</v>
      </c>
    </row>
    <row r="366" spans="1:13">
      <c r="A366" t="s">
        <v>364</v>
      </c>
      <c r="B366">
        <v>3.281063069</v>
      </c>
      <c r="C366">
        <v>2.7675768390000002</v>
      </c>
      <c r="D366">
        <v>2.4407654609999998</v>
      </c>
      <c r="E366">
        <v>1.5681083769999999</v>
      </c>
      <c r="F366">
        <v>0.960444411</v>
      </c>
      <c r="G366">
        <v>0.68430648199999999</v>
      </c>
      <c r="H366">
        <v>0.54553607100000001</v>
      </c>
      <c r="I366">
        <v>0.46605477699999998</v>
      </c>
      <c r="L366">
        <v>6.4652309997701503E-4</v>
      </c>
      <c r="M366">
        <f t="shared" si="1"/>
        <v>3.361920119880478</v>
      </c>
    </row>
    <row r="367" spans="1:13">
      <c r="A367" t="s">
        <v>365</v>
      </c>
      <c r="B367">
        <v>3.0598904029999998</v>
      </c>
      <c r="C367">
        <v>2.9553128040000001</v>
      </c>
      <c r="D367">
        <v>2.470758714</v>
      </c>
      <c r="E367">
        <v>1.4165176960000001</v>
      </c>
      <c r="F367">
        <v>0.98294674599999998</v>
      </c>
      <c r="G367">
        <v>0.70553413600000003</v>
      </c>
      <c r="H367">
        <v>0.57648742500000005</v>
      </c>
      <c r="I367">
        <v>0.48586384599999999</v>
      </c>
      <c r="L367">
        <v>6.0335320478128204E-4</v>
      </c>
      <c r="M367">
        <f t="shared" si="1"/>
        <v>3.1374366648626668</v>
      </c>
    </row>
    <row r="368" spans="1:13">
      <c r="A368" t="s">
        <v>366</v>
      </c>
      <c r="B368">
        <v>2.8550746679999999</v>
      </c>
      <c r="C368">
        <v>2.674859729</v>
      </c>
      <c r="D368">
        <v>2.179090687</v>
      </c>
      <c r="E368">
        <v>1.465075594</v>
      </c>
      <c r="F368">
        <v>0.82812066399999995</v>
      </c>
      <c r="G368">
        <v>0.59208196599999996</v>
      </c>
      <c r="H368">
        <v>0.48379957899999998</v>
      </c>
      <c r="I368">
        <v>0.40358819000000001</v>
      </c>
      <c r="L368">
        <v>5.63381202634131E-4</v>
      </c>
      <c r="M368">
        <f t="shared" si="1"/>
        <v>2.9295822536974812</v>
      </c>
    </row>
    <row r="369" spans="1:13">
      <c r="A369" t="s">
        <v>367</v>
      </c>
      <c r="B369">
        <v>2.761097431</v>
      </c>
      <c r="C369">
        <v>2.409666294</v>
      </c>
      <c r="D369">
        <v>2.0100707610000002</v>
      </c>
      <c r="E369">
        <v>1.330262872</v>
      </c>
      <c r="F369">
        <v>0.76384215200000005</v>
      </c>
      <c r="G369">
        <v>0.52718545299999997</v>
      </c>
      <c r="H369">
        <v>0.40825924299999999</v>
      </c>
      <c r="I369">
        <v>0.32795365999999998</v>
      </c>
      <c r="L369">
        <v>5.4501123437218505E-4</v>
      </c>
      <c r="M369">
        <f t="shared" si="1"/>
        <v>2.8340584187353621</v>
      </c>
    </row>
    <row r="370" spans="1:13">
      <c r="A370" t="s">
        <v>368</v>
      </c>
      <c r="B370">
        <v>2.4610845939999999</v>
      </c>
      <c r="C370">
        <v>2.2533230799999999</v>
      </c>
      <c r="D370">
        <v>1.856067726</v>
      </c>
      <c r="E370">
        <v>1.224882365</v>
      </c>
      <c r="F370">
        <v>0.68844083700000003</v>
      </c>
      <c r="G370">
        <v>0.48158077300000002</v>
      </c>
      <c r="H370">
        <v>0.37250203700000001</v>
      </c>
      <c r="I370">
        <v>0.30243688800000001</v>
      </c>
      <c r="L370">
        <v>4.86513983818716E-4</v>
      </c>
      <c r="M370">
        <f t="shared" si="1"/>
        <v>2.5298727158573233</v>
      </c>
    </row>
    <row r="371" spans="1:13">
      <c r="A371" t="s">
        <v>369</v>
      </c>
      <c r="B371">
        <v>2.7292410469999999</v>
      </c>
      <c r="C371">
        <v>2.409666294</v>
      </c>
      <c r="D371">
        <v>1.871392452</v>
      </c>
      <c r="E371">
        <v>1.2100585619999999</v>
      </c>
      <c r="F371">
        <v>0.66927433999999997</v>
      </c>
      <c r="G371">
        <v>0.47244781800000002</v>
      </c>
      <c r="H371">
        <v>0.37362330300000002</v>
      </c>
      <c r="I371">
        <v>0.31401753700000001</v>
      </c>
      <c r="L371">
        <v>5.3868856829137701E-4</v>
      </c>
      <c r="M371">
        <f t="shared" si="1"/>
        <v>2.8011805551151605</v>
      </c>
    </row>
    <row r="372" spans="1:13">
      <c r="A372" t="s">
        <v>370</v>
      </c>
      <c r="B372">
        <v>2.3822792650000002</v>
      </c>
      <c r="C372">
        <v>2.300437091</v>
      </c>
      <c r="D372">
        <v>1.8872442330000001</v>
      </c>
      <c r="E372">
        <v>1.180295117</v>
      </c>
      <c r="F372">
        <v>0.67068700299999995</v>
      </c>
      <c r="G372">
        <v>0.47367881099999998</v>
      </c>
      <c r="H372">
        <v>0.37475393000000001</v>
      </c>
      <c r="I372">
        <v>0.31510288600000003</v>
      </c>
      <c r="L372">
        <v>4.7106358929693501E-4</v>
      </c>
      <c r="M372">
        <f t="shared" si="1"/>
        <v>2.4495306643440622</v>
      </c>
    </row>
    <row r="373" spans="1:13">
      <c r="A373" t="s">
        <v>371</v>
      </c>
      <c r="B373">
        <v>2.3192856060000002</v>
      </c>
      <c r="C373">
        <v>2.1288873110000002</v>
      </c>
      <c r="D373">
        <v>1.7799248270000001</v>
      </c>
      <c r="E373">
        <v>1.1212888329999999</v>
      </c>
      <c r="F373">
        <v>0.64425393799999997</v>
      </c>
      <c r="G373">
        <v>0.44696007900000001</v>
      </c>
      <c r="H373">
        <v>0.34785202700000001</v>
      </c>
      <c r="I373">
        <v>0.27744392400000001</v>
      </c>
      <c r="L373">
        <v>4.5874842533920898E-4</v>
      </c>
      <c r="M373">
        <f t="shared" si="1"/>
        <v>2.3854918117638868</v>
      </c>
    </row>
    <row r="374" spans="1:13">
      <c r="A374" t="s">
        <v>372</v>
      </c>
      <c r="B374">
        <v>2.556198744</v>
      </c>
      <c r="C374">
        <v>2.2698900530000001</v>
      </c>
      <c r="D374">
        <v>1.9652005509999999</v>
      </c>
      <c r="E374">
        <v>1.2570784049999999</v>
      </c>
      <c r="F374">
        <v>0.660070673</v>
      </c>
      <c r="G374">
        <v>0.44353944499999998</v>
      </c>
      <c r="H374">
        <v>0.33469954600000001</v>
      </c>
      <c r="I374">
        <v>0.25411426199999998</v>
      </c>
      <c r="L374">
        <v>5.0482891980559099E-4</v>
      </c>
      <c r="M374">
        <f t="shared" si="1"/>
        <v>2.6251103829890732</v>
      </c>
    </row>
    <row r="375" spans="1:13">
      <c r="A375" t="s">
        <v>373</v>
      </c>
      <c r="B375">
        <v>2.6351186590000002</v>
      </c>
      <c r="C375">
        <v>2.3012280490000001</v>
      </c>
      <c r="D375">
        <v>1.8884124710000001</v>
      </c>
      <c r="E375">
        <v>1.166863143</v>
      </c>
      <c r="F375">
        <v>0.66267941900000005</v>
      </c>
      <c r="G375">
        <v>0.44551880799999999</v>
      </c>
      <c r="H375">
        <v>0.31582456399999997</v>
      </c>
      <c r="I375">
        <v>0.235407011</v>
      </c>
      <c r="L375">
        <v>5.2014243526861696E-4</v>
      </c>
      <c r="M375">
        <f t="shared" si="1"/>
        <v>2.7047406633968083</v>
      </c>
    </row>
    <row r="376" spans="1:13">
      <c r="A376" t="s">
        <v>374</v>
      </c>
      <c r="B376">
        <v>2.4453170160000002</v>
      </c>
      <c r="C376">
        <v>2.4421524859999999</v>
      </c>
      <c r="D376">
        <v>2.0278814600000001</v>
      </c>
      <c r="E376">
        <v>1.0598735640000001</v>
      </c>
      <c r="F376">
        <v>0.75353453000000004</v>
      </c>
      <c r="G376">
        <v>0.52541734399999995</v>
      </c>
      <c r="H376">
        <v>0.40565605399999999</v>
      </c>
      <c r="I376">
        <v>0.32490329400000001</v>
      </c>
      <c r="L376">
        <v>4.83143715368438E-4</v>
      </c>
      <c r="M376">
        <f t="shared" si="1"/>
        <v>2.5123473199158775</v>
      </c>
    </row>
    <row r="377" spans="1:13">
      <c r="A377" t="s">
        <v>375</v>
      </c>
      <c r="B377">
        <v>2.855824234</v>
      </c>
      <c r="C377">
        <v>2.5044774319999998</v>
      </c>
      <c r="D377">
        <v>2.1212042969999998</v>
      </c>
      <c r="E377">
        <v>1.0297930550000001</v>
      </c>
      <c r="F377">
        <v>0.77357656399999997</v>
      </c>
      <c r="G377">
        <v>0.53493378800000002</v>
      </c>
      <c r="H377">
        <v>0.41503398699999999</v>
      </c>
      <c r="I377">
        <v>0.34478866400000002</v>
      </c>
      <c r="L377">
        <v>5.6299923241813195E-4</v>
      </c>
      <c r="M377">
        <f t="shared" si="1"/>
        <v>2.927596008574286</v>
      </c>
    </row>
    <row r="378" spans="1:13">
      <c r="A378" t="s">
        <v>376</v>
      </c>
      <c r="B378">
        <v>2.8241068070000002</v>
      </c>
      <c r="C378">
        <v>2.644968167</v>
      </c>
      <c r="D378">
        <v>2.1664222550000001</v>
      </c>
      <c r="E378">
        <v>1.180748001</v>
      </c>
      <c r="F378">
        <v>0.80912699700000001</v>
      </c>
      <c r="G378">
        <v>0.56143884799999999</v>
      </c>
      <c r="H378">
        <v>0.43184730399999999</v>
      </c>
      <c r="I378">
        <v>0.35148751299999997</v>
      </c>
      <c r="L378">
        <v>5.5677228384240095E-4</v>
      </c>
      <c r="M378">
        <f t="shared" si="1"/>
        <v>2.8952158759804849</v>
      </c>
    </row>
    <row r="379" spans="1:13">
      <c r="A379" t="s">
        <v>377</v>
      </c>
      <c r="B379">
        <v>2.9347101439999999</v>
      </c>
      <c r="C379">
        <v>2.6606420050000001</v>
      </c>
      <c r="D379">
        <v>2.1972528809999998</v>
      </c>
      <c r="E379">
        <v>1.46951483</v>
      </c>
      <c r="F379">
        <v>0.82233307300000003</v>
      </c>
      <c r="G379">
        <v>0.58638429400000003</v>
      </c>
      <c r="H379">
        <v>0.45760636100000002</v>
      </c>
      <c r="I379">
        <v>0.36718632800000001</v>
      </c>
      <c r="L379">
        <v>5.78243867951354E-4</v>
      </c>
      <c r="M379">
        <f t="shared" si="1"/>
        <v>3.006868113347041</v>
      </c>
    </row>
    <row r="380" spans="1:13">
      <c r="A380" t="s">
        <v>378</v>
      </c>
      <c r="B380">
        <v>2.8875078570000001</v>
      </c>
      <c r="C380">
        <v>2.551611614</v>
      </c>
      <c r="D380">
        <v>2.1050124239999999</v>
      </c>
      <c r="E380">
        <v>1.424363598</v>
      </c>
      <c r="F380">
        <v>0.80417811500000003</v>
      </c>
      <c r="G380">
        <v>0.578079864</v>
      </c>
      <c r="H380">
        <v>0.44914511099999999</v>
      </c>
      <c r="I380">
        <v>0.36925473399999997</v>
      </c>
      <c r="L380">
        <v>5.6900517886180203E-4</v>
      </c>
      <c r="M380">
        <f t="shared" si="1"/>
        <v>2.9588269300813708</v>
      </c>
    </row>
    <row r="381" spans="1:13">
      <c r="A381" t="s">
        <v>379</v>
      </c>
      <c r="B381">
        <v>2.3189810180000001</v>
      </c>
      <c r="C381">
        <v>2.5046736900000002</v>
      </c>
      <c r="D381">
        <v>2.1525554229999999</v>
      </c>
      <c r="E381">
        <v>1.0601288980000001</v>
      </c>
      <c r="F381">
        <v>0.76370399300000003</v>
      </c>
      <c r="G381">
        <v>0.53562955300000004</v>
      </c>
      <c r="H381">
        <v>0.40565000099999998</v>
      </c>
      <c r="I381">
        <v>0.32508891499999998</v>
      </c>
      <c r="L381">
        <v>4.58334831475541E-4</v>
      </c>
      <c r="M381">
        <f t="shared" si="1"/>
        <v>2.383341123672813</v>
      </c>
    </row>
    <row r="382" spans="1:13">
      <c r="A382" t="s">
        <v>380</v>
      </c>
      <c r="B382">
        <v>2.682257259</v>
      </c>
      <c r="C382">
        <v>2.6613710699999999</v>
      </c>
      <c r="D382">
        <v>2.1051754499999999</v>
      </c>
      <c r="E382">
        <v>1.3644657039999999</v>
      </c>
      <c r="F382">
        <v>0.74728277899999995</v>
      </c>
      <c r="G382">
        <v>0.53115075300000003</v>
      </c>
      <c r="H382">
        <v>0.41236904899999999</v>
      </c>
      <c r="I382">
        <v>0.353403786</v>
      </c>
      <c r="L382">
        <v>5.2896995893860995E-4</v>
      </c>
      <c r="M382">
        <f t="shared" si="1"/>
        <v>2.7506437864807718</v>
      </c>
    </row>
    <row r="383" spans="1:13">
      <c r="A383" t="s">
        <v>381</v>
      </c>
      <c r="B383">
        <v>2.7137992139999998</v>
      </c>
      <c r="C383">
        <v>2.3954968760000002</v>
      </c>
      <c r="D383">
        <v>1.8278682660000001</v>
      </c>
      <c r="E383">
        <v>0.83353980999999999</v>
      </c>
      <c r="F383">
        <v>0.602519158</v>
      </c>
      <c r="G383">
        <v>0.40372877299999999</v>
      </c>
      <c r="H383">
        <v>0.31416140399999998</v>
      </c>
      <c r="I383">
        <v>0.26436078299999999</v>
      </c>
      <c r="L383">
        <v>5.35059134034219E-4</v>
      </c>
      <c r="M383">
        <f t="shared" si="1"/>
        <v>2.7823074969779387</v>
      </c>
    </row>
    <row r="384" spans="1:13">
      <c r="A384" t="s">
        <v>382</v>
      </c>
      <c r="B384">
        <v>2.2724904970000002</v>
      </c>
      <c r="C384">
        <v>2.145666195</v>
      </c>
      <c r="D384">
        <v>1.4405959290000001</v>
      </c>
      <c r="E384">
        <v>0.95721253299999998</v>
      </c>
      <c r="F384">
        <v>0.53260750800000001</v>
      </c>
      <c r="G384">
        <v>0.36490107799999999</v>
      </c>
      <c r="H384">
        <v>0.27555303399999997</v>
      </c>
      <c r="I384">
        <v>0.215316644</v>
      </c>
      <c r="L384">
        <v>4.49169923851936E-4</v>
      </c>
      <c r="M384">
        <f t="shared" si="1"/>
        <v>2.3356836040300673</v>
      </c>
    </row>
    <row r="385" spans="1:13">
      <c r="A385" t="s">
        <v>383</v>
      </c>
      <c r="B385">
        <v>2.3514170839999999</v>
      </c>
      <c r="C385">
        <v>2.067324433</v>
      </c>
      <c r="D385">
        <v>1.674342226</v>
      </c>
      <c r="E385">
        <v>1.018818778</v>
      </c>
      <c r="F385">
        <v>0.50203711500000003</v>
      </c>
      <c r="G385">
        <v>0.35491988699999999</v>
      </c>
      <c r="H385">
        <v>0.27596937399999999</v>
      </c>
      <c r="I385">
        <v>0.22626030899999999</v>
      </c>
      <c r="L385">
        <v>4.6448271097927898E-4</v>
      </c>
      <c r="M385">
        <f t="shared" si="1"/>
        <v>2.4153100970922505</v>
      </c>
    </row>
    <row r="386" spans="1:13">
      <c r="A386" t="s">
        <v>384</v>
      </c>
      <c r="B386">
        <v>2.0359479569999999</v>
      </c>
      <c r="C386">
        <v>1.723461557</v>
      </c>
      <c r="D386">
        <v>1.1318354319999999</v>
      </c>
      <c r="E386">
        <v>0.51648751299999995</v>
      </c>
      <c r="F386">
        <v>0.41478167900000001</v>
      </c>
      <c r="G386">
        <v>0.27505792600000001</v>
      </c>
      <c r="H386">
        <v>0.19464113599999999</v>
      </c>
      <c r="I386">
        <v>0.16513070399999999</v>
      </c>
      <c r="L386">
        <v>4.0308951041703403E-4</v>
      </c>
      <c r="M386">
        <f t="shared" si="1"/>
        <v>2.0960654541685768</v>
      </c>
    </row>
    <row r="387" spans="1:13">
      <c r="A387" t="s">
        <v>385</v>
      </c>
      <c r="B387">
        <v>2.0515309529999999</v>
      </c>
      <c r="C387">
        <v>1.6918100789999999</v>
      </c>
      <c r="D387">
        <v>1.2249101630000001</v>
      </c>
      <c r="E387">
        <v>0.83579016900000003</v>
      </c>
      <c r="F387">
        <v>0.39759768699999998</v>
      </c>
      <c r="G387">
        <v>0.27005200000000001</v>
      </c>
      <c r="H387">
        <v>0.20091904999999999</v>
      </c>
      <c r="I387">
        <v>0.16136003800000001</v>
      </c>
      <c r="L387">
        <v>4.0608638130709397E-4</v>
      </c>
      <c r="M387">
        <f t="shared" si="1"/>
        <v>2.1116491827968886</v>
      </c>
    </row>
    <row r="388" spans="1:13">
      <c r="A388" t="s">
        <v>386</v>
      </c>
      <c r="B388">
        <v>2.0989140580000001</v>
      </c>
      <c r="C388">
        <v>1.582440898</v>
      </c>
      <c r="D388">
        <v>1.178237599</v>
      </c>
      <c r="E388">
        <v>0.62280981499999999</v>
      </c>
      <c r="F388">
        <v>0.38275804499999999</v>
      </c>
      <c r="G388">
        <v>0.25393312000000001</v>
      </c>
      <c r="H388">
        <v>0.18417961199999999</v>
      </c>
      <c r="I388">
        <v>0.15480912399999999</v>
      </c>
      <c r="L388">
        <v>4.15266857203307E-4</v>
      </c>
      <c r="M388">
        <f t="shared" si="1"/>
        <v>2.1593876574571964</v>
      </c>
    </row>
    <row r="389" spans="1:13">
      <c r="A389" t="s">
        <v>387</v>
      </c>
      <c r="B389">
        <v>2.0042532569999998</v>
      </c>
      <c r="C389">
        <v>1.504272947</v>
      </c>
      <c r="D389">
        <v>1.101130696</v>
      </c>
      <c r="E389">
        <v>0.623000357</v>
      </c>
      <c r="F389">
        <v>0.333782686</v>
      </c>
      <c r="G389">
        <v>0.225303592</v>
      </c>
      <c r="H389">
        <v>0.16575928200000001</v>
      </c>
      <c r="I389">
        <v>0.13622026000000001</v>
      </c>
      <c r="L389">
        <v>3.9682779593013499E-4</v>
      </c>
      <c r="M389">
        <f t="shared" si="1"/>
        <v>2.0635045388367019</v>
      </c>
    </row>
    <row r="390" spans="1:13">
      <c r="A390" t="s">
        <v>388</v>
      </c>
      <c r="B390">
        <v>1.7834711110000001</v>
      </c>
      <c r="C390">
        <v>1.394534172</v>
      </c>
      <c r="D390">
        <v>0.97711352500000004</v>
      </c>
      <c r="E390">
        <v>0.53185750700000001</v>
      </c>
      <c r="F390">
        <v>0.326125834</v>
      </c>
      <c r="G390">
        <v>0.21704510399999999</v>
      </c>
      <c r="H390">
        <v>0.16744526900000001</v>
      </c>
      <c r="I390">
        <v>0.14813378799999999</v>
      </c>
      <c r="L390">
        <v>3.5387154531925803E-4</v>
      </c>
      <c r="M390">
        <f t="shared" si="1"/>
        <v>1.8401320356601418</v>
      </c>
    </row>
    <row r="391" spans="1:13">
      <c r="A391" t="s">
        <v>389</v>
      </c>
      <c r="B391">
        <v>1.8149152550000001</v>
      </c>
      <c r="C391">
        <v>1.410305623</v>
      </c>
      <c r="D391">
        <v>1.070163704</v>
      </c>
      <c r="E391">
        <v>0.607782445</v>
      </c>
      <c r="F391">
        <v>0.29486514200000002</v>
      </c>
      <c r="G391">
        <v>0.186491032</v>
      </c>
      <c r="H391">
        <v>0.13725024299999999</v>
      </c>
      <c r="I391">
        <v>9.6971346E-2</v>
      </c>
      <c r="L391">
        <v>3.5995674226057601E-4</v>
      </c>
      <c r="M391">
        <f t="shared" si="1"/>
        <v>1.8717750597549951</v>
      </c>
    </row>
    <row r="392" spans="1:13">
      <c r="A392" t="s">
        <v>390</v>
      </c>
      <c r="B392">
        <v>1.6886109380000001</v>
      </c>
      <c r="C392">
        <v>1.284949667</v>
      </c>
      <c r="D392">
        <v>0.91516907000000003</v>
      </c>
      <c r="E392">
        <v>0.44065016600000001</v>
      </c>
      <c r="F392">
        <v>0.26927127000000001</v>
      </c>
      <c r="G392">
        <v>0.18005010699999999</v>
      </c>
      <c r="H392">
        <v>0.14042544800000001</v>
      </c>
      <c r="I392">
        <v>0.11021141700000001</v>
      </c>
      <c r="L392">
        <v>3.3537659301987498E-4</v>
      </c>
      <c r="M392">
        <f t="shared" si="1"/>
        <v>1.7439582837033498</v>
      </c>
    </row>
    <row r="393" spans="1:13">
      <c r="A393" t="s">
        <v>391</v>
      </c>
      <c r="B393">
        <v>1.751739019</v>
      </c>
      <c r="C393">
        <v>1.394861924</v>
      </c>
      <c r="D393">
        <v>1.0084200240000001</v>
      </c>
      <c r="E393">
        <v>0.57751978699999995</v>
      </c>
      <c r="F393">
        <v>0.27614238899999999</v>
      </c>
      <c r="G393">
        <v>0.18777798300000001</v>
      </c>
      <c r="H393">
        <v>0.13827679200000001</v>
      </c>
      <c r="I393">
        <v>0.119007718</v>
      </c>
      <c r="L393">
        <v>3.4762163400657001E-4</v>
      </c>
      <c r="M393">
        <f t="shared" si="1"/>
        <v>1.8076324968341639</v>
      </c>
    </row>
    <row r="394" spans="1:13">
      <c r="A394" t="s">
        <v>392</v>
      </c>
      <c r="B394">
        <v>1.9096864689999999</v>
      </c>
      <c r="C394">
        <v>1.488774789</v>
      </c>
      <c r="D394">
        <v>1.0547028730000001</v>
      </c>
      <c r="E394">
        <v>0.56211941200000004</v>
      </c>
      <c r="F394">
        <v>0.29607576800000002</v>
      </c>
      <c r="G394">
        <v>0.19747008899999999</v>
      </c>
      <c r="H394">
        <v>0.147980417</v>
      </c>
      <c r="I394">
        <v>0.107580632</v>
      </c>
      <c r="L394">
        <v>3.7829434831297898E-4</v>
      </c>
      <c r="M394">
        <f t="shared" si="1"/>
        <v>1.9671306112274907</v>
      </c>
    </row>
    <row r="395" spans="1:13">
      <c r="A395" t="s">
        <v>393</v>
      </c>
      <c r="B395">
        <v>2.0200495759999999</v>
      </c>
      <c r="C395">
        <v>1.5982779709999999</v>
      </c>
      <c r="D395">
        <v>1.132185786</v>
      </c>
      <c r="E395">
        <v>0.63831647400000002</v>
      </c>
      <c r="F395">
        <v>0.333795909</v>
      </c>
      <c r="G395">
        <v>0.23546234899999999</v>
      </c>
      <c r="H395">
        <v>0.165550684</v>
      </c>
      <c r="I395">
        <v>0.125499633</v>
      </c>
      <c r="L395">
        <v>3.99715007175624E-4</v>
      </c>
      <c r="M395">
        <f t="shared" si="1"/>
        <v>2.0785180373132448</v>
      </c>
    </row>
    <row r="396" spans="1:13">
      <c r="A396" t="s">
        <v>394</v>
      </c>
      <c r="B396">
        <v>2.0674359949999999</v>
      </c>
      <c r="C396">
        <v>1.629629233</v>
      </c>
      <c r="D396">
        <v>1.178785677</v>
      </c>
      <c r="E396">
        <v>0.65364116999999999</v>
      </c>
      <c r="F396">
        <v>0.30408524300000001</v>
      </c>
      <c r="G396">
        <v>0.19601732299999999</v>
      </c>
      <c r="H396">
        <v>0.13663476099999999</v>
      </c>
      <c r="I396">
        <v>0.107151333</v>
      </c>
      <c r="L396">
        <v>4.0889451659413399E-4</v>
      </c>
      <c r="M396">
        <f t="shared" si="1"/>
        <v>2.1262514862894966</v>
      </c>
    </row>
    <row r="397" spans="1:13">
      <c r="A397" t="s">
        <v>395</v>
      </c>
      <c r="B397">
        <v>1.8309544959999999</v>
      </c>
      <c r="C397">
        <v>1.441933441</v>
      </c>
      <c r="D397">
        <v>1.101372566</v>
      </c>
      <c r="E397">
        <v>0.60796159900000002</v>
      </c>
      <c r="F397">
        <v>0.27563607200000001</v>
      </c>
      <c r="G397">
        <v>0.187521203</v>
      </c>
      <c r="H397">
        <v>0.13818836700000001</v>
      </c>
      <c r="I397">
        <v>0.108453618</v>
      </c>
      <c r="L397">
        <v>3.6291248460794498E-4</v>
      </c>
      <c r="M397">
        <f t="shared" si="1"/>
        <v>1.8871449199613139</v>
      </c>
    </row>
    <row r="398" spans="1:13">
      <c r="A398" t="s">
        <v>396</v>
      </c>
      <c r="B398">
        <v>1.752116142</v>
      </c>
      <c r="C398">
        <v>1.488790364</v>
      </c>
      <c r="D398">
        <v>1.0546210309999999</v>
      </c>
      <c r="E398">
        <v>0.56255795799999997</v>
      </c>
      <c r="F398">
        <v>0.28656979700000001</v>
      </c>
      <c r="G398">
        <v>0.188051158</v>
      </c>
      <c r="H398">
        <v>0.13861169600000001</v>
      </c>
      <c r="I398">
        <v>0.108800391</v>
      </c>
      <c r="L398">
        <v>3.4756812801753698E-4</v>
      </c>
      <c r="M398">
        <f t="shared" ref="M398:M406" si="2">L398*5200</f>
        <v>1.8073542656911923</v>
      </c>
    </row>
    <row r="399" spans="1:13">
      <c r="A399" t="s">
        <v>397</v>
      </c>
      <c r="B399">
        <v>1.767717424</v>
      </c>
      <c r="C399">
        <v>1.567196952</v>
      </c>
      <c r="D399">
        <v>1.1169171950000001</v>
      </c>
      <c r="E399">
        <v>0.59282997999999998</v>
      </c>
      <c r="F399">
        <v>0.305541169</v>
      </c>
      <c r="G399">
        <v>0.207134656</v>
      </c>
      <c r="H399">
        <v>0.157751751</v>
      </c>
      <c r="I399">
        <v>0.12799501399999999</v>
      </c>
      <c r="L399">
        <v>3.5057498879882503E-4</v>
      </c>
      <c r="M399">
        <f t="shared" si="2"/>
        <v>1.8229899417538902</v>
      </c>
    </row>
    <row r="400" spans="1:13">
      <c r="A400" t="s">
        <v>398</v>
      </c>
      <c r="B400">
        <v>1.4995805710000001</v>
      </c>
      <c r="C400">
        <v>1.363619548</v>
      </c>
      <c r="D400">
        <v>0.97741788399999996</v>
      </c>
      <c r="E400">
        <v>0.53234320199999996</v>
      </c>
      <c r="F400">
        <v>0.29721942000000001</v>
      </c>
      <c r="G400">
        <v>0.208462913</v>
      </c>
      <c r="H400">
        <v>0.15881025300000001</v>
      </c>
      <c r="I400">
        <v>0.128880147</v>
      </c>
      <c r="L400">
        <v>2.9845804706171101E-4</v>
      </c>
      <c r="M400">
        <f t="shared" si="2"/>
        <v>1.5519818447208973</v>
      </c>
    </row>
    <row r="401" spans="1:13">
      <c r="A401" t="s">
        <v>399</v>
      </c>
      <c r="B401">
        <v>1.452365664</v>
      </c>
      <c r="C401">
        <v>1.301231609</v>
      </c>
      <c r="D401">
        <v>0.99327778600000005</v>
      </c>
      <c r="E401">
        <v>0.51735170699999999</v>
      </c>
      <c r="F401">
        <v>0.26838480100000001</v>
      </c>
      <c r="G401">
        <v>0.179707749</v>
      </c>
      <c r="H401">
        <v>0.13007387200000001</v>
      </c>
      <c r="I401">
        <v>0.10014039</v>
      </c>
      <c r="L401">
        <v>2.89265632565357E-4</v>
      </c>
      <c r="M401">
        <f t="shared" si="2"/>
        <v>1.5041812893398565</v>
      </c>
    </row>
    <row r="402" spans="1:13">
      <c r="A402" t="s">
        <v>400</v>
      </c>
      <c r="B402">
        <v>1.483969455</v>
      </c>
      <c r="C402">
        <v>1.2697768819999999</v>
      </c>
      <c r="D402">
        <v>0.96243669600000004</v>
      </c>
      <c r="E402">
        <v>0.42619124899999999</v>
      </c>
      <c r="F402">
        <v>0.260593931</v>
      </c>
      <c r="G402">
        <v>0.17134674599999999</v>
      </c>
      <c r="H402">
        <v>0.121427813</v>
      </c>
      <c r="I402">
        <v>0.101858561</v>
      </c>
      <c r="L402">
        <v>2.9538528227352498E-4</v>
      </c>
      <c r="M402">
        <f t="shared" si="2"/>
        <v>1.53600346782233</v>
      </c>
    </row>
    <row r="403" spans="1:13">
      <c r="A403" t="s">
        <v>401</v>
      </c>
      <c r="B403">
        <v>1.3735025080000001</v>
      </c>
      <c r="C403">
        <v>1.1759980919999999</v>
      </c>
      <c r="D403">
        <v>0.90045745799999999</v>
      </c>
      <c r="E403">
        <v>0.45661989800000002</v>
      </c>
      <c r="F403">
        <v>0.24031586499999999</v>
      </c>
      <c r="G403">
        <v>0.16143300399999999</v>
      </c>
      <c r="H403">
        <v>0.12184719199999999</v>
      </c>
      <c r="I403">
        <v>0.102207058</v>
      </c>
      <c r="L403">
        <v>2.7390894764818199E-4</v>
      </c>
      <c r="M403">
        <f t="shared" si="2"/>
        <v>1.4243265277705464</v>
      </c>
    </row>
    <row r="404" spans="1:13">
      <c r="A404" t="s">
        <v>402</v>
      </c>
      <c r="B404">
        <v>1.452408632</v>
      </c>
      <c r="C404">
        <v>1.238473717</v>
      </c>
      <c r="D404">
        <v>0.93134102699999999</v>
      </c>
      <c r="E404">
        <v>0.48703833299999999</v>
      </c>
      <c r="F404">
        <v>0.249418532</v>
      </c>
      <c r="G404">
        <v>0.17070835300000001</v>
      </c>
      <c r="H404">
        <v>0.120956955</v>
      </c>
      <c r="I404">
        <v>0.10149027400000001</v>
      </c>
      <c r="L404">
        <v>2.8921657259264899E-4</v>
      </c>
      <c r="M404">
        <f t="shared" si="2"/>
        <v>1.5039261774817747</v>
      </c>
    </row>
    <row r="405" spans="1:13">
      <c r="A405" t="s">
        <v>403</v>
      </c>
      <c r="B405">
        <v>1.5312626110000001</v>
      </c>
      <c r="C405">
        <v>1.3325871220000001</v>
      </c>
      <c r="D405">
        <v>0.97797223700000002</v>
      </c>
      <c r="E405">
        <v>0.48703833299999999</v>
      </c>
      <c r="F405">
        <v>0.24951540799999999</v>
      </c>
      <c r="G405">
        <v>0.17081703000000001</v>
      </c>
      <c r="H405">
        <v>0.13134561</v>
      </c>
      <c r="I405">
        <v>0.101242762</v>
      </c>
      <c r="L405">
        <v>3.0451230966561601E-4</v>
      </c>
      <c r="M405">
        <f t="shared" si="2"/>
        <v>1.5834640102612032</v>
      </c>
    </row>
    <row r="406" spans="1:13">
      <c r="A406" t="s">
        <v>404</v>
      </c>
      <c r="B406">
        <v>1.546973063</v>
      </c>
      <c r="C406">
        <v>1.3324835900000001</v>
      </c>
      <c r="D406">
        <v>0.94694983300000002</v>
      </c>
      <c r="E406">
        <v>0.50252395800000005</v>
      </c>
      <c r="F406">
        <v>0.24946290400000001</v>
      </c>
      <c r="G406">
        <v>0.170882325</v>
      </c>
      <c r="H406">
        <v>0.121182611</v>
      </c>
      <c r="I406">
        <v>8.0688203E-2</v>
      </c>
      <c r="L406">
        <v>3.0754389682605501E-4</v>
      </c>
      <c r="M406">
        <f t="shared" si="2"/>
        <v>1.599228263495486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40"/>
  <sheetViews>
    <sheetView workbookViewId="0">
      <selection activeCell="Q37" sqref="Q37"/>
    </sheetView>
  </sheetViews>
  <sheetFormatPr defaultRowHeight="15"/>
  <cols>
    <col min="2" max="2" width="13.5703125" customWidth="1"/>
    <col min="6" max="6" width="12.7109375" bestFit="1" customWidth="1"/>
    <col min="9" max="9" width="12.28515625" customWidth="1"/>
    <col min="12" max="12" width="12.28515625" customWidth="1"/>
    <col min="14" max="14" width="12.7109375" bestFit="1" customWidth="1"/>
    <col min="17" max="17" width="13.42578125" customWidth="1"/>
    <col min="19" max="19" width="12.140625" customWidth="1"/>
  </cols>
  <sheetData>
    <row r="1" spans="1:19">
      <c r="C1" t="s">
        <v>406</v>
      </c>
      <c r="D1" t="s">
        <v>407</v>
      </c>
      <c r="E1">
        <f>0.0016144</f>
        <v>1.6144E-3</v>
      </c>
      <c r="F1" t="s">
        <v>408</v>
      </c>
      <c r="G1" t="s">
        <v>409</v>
      </c>
      <c r="H1" t="s">
        <v>410</v>
      </c>
      <c r="I1" t="s">
        <v>411</v>
      </c>
      <c r="J1" t="s">
        <v>411</v>
      </c>
      <c r="L1" t="s">
        <v>411</v>
      </c>
      <c r="M1" t="s">
        <v>411</v>
      </c>
      <c r="N1" t="s">
        <v>412</v>
      </c>
      <c r="O1" t="s">
        <v>413</v>
      </c>
    </row>
    <row r="2" spans="1:19">
      <c r="A2">
        <v>1</v>
      </c>
      <c r="B2" t="s">
        <v>414</v>
      </c>
      <c r="C2">
        <v>6.6140212759999999</v>
      </c>
      <c r="E2">
        <f ca="1">NORMSINV(RAND())</f>
        <v>0.90009847377860552</v>
      </c>
      <c r="F2">
        <f ca="1">$E$1*E2</f>
        <v>1.4531189760681807E-3</v>
      </c>
      <c r="G2">
        <f>C2/100</f>
        <v>6.6140212759999997E-2</v>
      </c>
      <c r="H2">
        <v>1</v>
      </c>
      <c r="I2">
        <f>G2</f>
        <v>6.6140212759999997E-2</v>
      </c>
      <c r="J2">
        <f>I2*100</f>
        <v>6.6140212759999999</v>
      </c>
      <c r="L2">
        <f>G2</f>
        <v>6.6140212759999997E-2</v>
      </c>
      <c r="M2">
        <f>L2*100</f>
        <v>6.6140212759999999</v>
      </c>
      <c r="N2">
        <f>M2-C2</f>
        <v>0</v>
      </c>
      <c r="O2">
        <f>N2^2</f>
        <v>0</v>
      </c>
      <c r="P2">
        <f>SUM(O2:O140)</f>
        <v>32.462338563261618</v>
      </c>
    </row>
    <row r="3" spans="1:19">
      <c r="A3">
        <v>2</v>
      </c>
      <c r="B3" s="1">
        <v>35096</v>
      </c>
      <c r="C3">
        <v>6.4255544970000003</v>
      </c>
      <c r="E3">
        <f ca="1">NORMSINV(RAND())</f>
        <v>1.5221886112594252</v>
      </c>
      <c r="F3">
        <f ca="1">$E$1*E3</f>
        <v>2.457421294017216E-3</v>
      </c>
      <c r="H3" t="s">
        <v>415</v>
      </c>
      <c r="I3" s="2">
        <f ca="1">$H$2*(1-1/(157-A3))*I2+F3</f>
        <v>6.8170923003952694E-2</v>
      </c>
      <c r="J3">
        <f t="shared" ref="J3:J66" ca="1" si="0">I3*100</f>
        <v>6.8170923003952693</v>
      </c>
      <c r="L3" s="2">
        <f>$H$2*(1-1/(157-A3))*L2</f>
        <v>6.5713501709935479E-2</v>
      </c>
      <c r="M3">
        <f t="shared" ref="M3:M66" si="1">L3*100</f>
        <v>6.571350170993548</v>
      </c>
      <c r="N3">
        <f t="shared" ref="N3:N66" si="2">M3-C3</f>
        <v>0.14579567399354776</v>
      </c>
      <c r="O3">
        <f t="shared" ref="O3:O66" si="3">N3^2</f>
        <v>2.1256378555232859E-2</v>
      </c>
      <c r="Q3" s="2"/>
      <c r="S3" s="1"/>
    </row>
    <row r="4" spans="1:19">
      <c r="A4">
        <v>3</v>
      </c>
      <c r="B4" s="1">
        <v>35309</v>
      </c>
      <c r="C4">
        <v>6.3633932770000001</v>
      </c>
      <c r="E4">
        <f t="shared" ref="E4:E67" ca="1" si="4">NORMSINV(RAND())</f>
        <v>-0.77467512357499757</v>
      </c>
      <c r="F4">
        <f ca="1">$E$1*E4</f>
        <v>-1.2506355194994761E-3</v>
      </c>
      <c r="I4" s="2">
        <f t="shared" ref="I4:I67" ca="1" si="5">$H$2*(1-1/(157-A4))*I3+F4</f>
        <v>6.6477619153258727E-2</v>
      </c>
      <c r="J4">
        <f t="shared" ca="1" si="0"/>
        <v>6.6477619153258729</v>
      </c>
      <c r="L4" s="2">
        <f t="shared" ref="L4:L67" si="6">$H$2*(1-1/(157-A4))*L3</f>
        <v>6.5286790659870961E-2</v>
      </c>
      <c r="M4">
        <f t="shared" si="1"/>
        <v>6.5286790659870961</v>
      </c>
      <c r="N4">
        <f t="shared" si="2"/>
        <v>0.16528578898709601</v>
      </c>
      <c r="O4">
        <f t="shared" si="3"/>
        <v>2.7319392041086826E-2</v>
      </c>
      <c r="Q4" s="2"/>
      <c r="S4" s="1"/>
    </row>
    <row r="5" spans="1:19">
      <c r="A5">
        <v>4</v>
      </c>
      <c r="B5" t="s">
        <v>416</v>
      </c>
      <c r="C5">
        <v>6.2069927839999997</v>
      </c>
      <c r="E5">
        <f t="shared" ca="1" si="4"/>
        <v>-8.8647452986933967E-2</v>
      </c>
      <c r="F5">
        <f t="shared" ref="F5:F68" ca="1" si="7">$E$1*E5</f>
        <v>-1.4311244810210618E-4</v>
      </c>
      <c r="I5" s="2">
        <f t="shared" ca="1" si="5"/>
        <v>6.5900012462324867E-2</v>
      </c>
      <c r="J5">
        <f t="shared" ca="1" si="0"/>
        <v>6.5900012462324868</v>
      </c>
      <c r="L5" s="2">
        <f t="shared" si="6"/>
        <v>6.4860079609806442E-2</v>
      </c>
      <c r="M5">
        <f t="shared" si="1"/>
        <v>6.4860079609806442</v>
      </c>
      <c r="N5">
        <f t="shared" si="2"/>
        <v>0.2790151769806446</v>
      </c>
      <c r="O5">
        <f t="shared" si="3"/>
        <v>7.7849468985540432E-2</v>
      </c>
      <c r="Q5" s="2"/>
    </row>
    <row r="6" spans="1:19">
      <c r="A6">
        <v>5</v>
      </c>
      <c r="B6" t="s">
        <v>417</v>
      </c>
      <c r="C6">
        <v>6.4429433119999997</v>
      </c>
      <c r="E6">
        <f t="shared" ca="1" si="4"/>
        <v>-0.6336128967494048</v>
      </c>
      <c r="F6">
        <f t="shared" ca="1" si="7"/>
        <v>-1.0229046605122391E-3</v>
      </c>
      <c r="I6" s="2">
        <f t="shared" ca="1" si="5"/>
        <v>6.4443555088244703E-2</v>
      </c>
      <c r="J6">
        <f t="shared" ca="1" si="0"/>
        <v>6.4443555088244704</v>
      </c>
      <c r="L6" s="2">
        <f t="shared" si="6"/>
        <v>6.4433368559741924E-2</v>
      </c>
      <c r="M6">
        <f t="shared" si="1"/>
        <v>6.4433368559741924</v>
      </c>
      <c r="N6">
        <f t="shared" si="2"/>
        <v>3.9354397419266718E-4</v>
      </c>
      <c r="O6">
        <f t="shared" si="3"/>
        <v>1.5487685962335869E-7</v>
      </c>
      <c r="Q6" s="2"/>
    </row>
    <row r="7" spans="1:19">
      <c r="A7">
        <v>6</v>
      </c>
      <c r="B7" t="s">
        <v>418</v>
      </c>
      <c r="C7">
        <v>6.3808362000000001</v>
      </c>
      <c r="E7">
        <f t="shared" ca="1" si="4"/>
        <v>0.8811727918697323</v>
      </c>
      <c r="F7">
        <f t="shared" ca="1" si="7"/>
        <v>1.4225653551944958E-3</v>
      </c>
      <c r="I7" s="2">
        <f t="shared" ca="1" si="5"/>
        <v>6.5439341932921016E-2</v>
      </c>
      <c r="J7">
        <f t="shared" ca="1" si="0"/>
        <v>6.5439341932921016</v>
      </c>
      <c r="L7" s="2">
        <f t="shared" si="6"/>
        <v>6.4006657509677406E-2</v>
      </c>
      <c r="M7">
        <f t="shared" si="1"/>
        <v>6.4006657509677405</v>
      </c>
      <c r="N7">
        <f t="shared" si="2"/>
        <v>1.9829550967740417E-2</v>
      </c>
      <c r="O7">
        <f t="shared" si="3"/>
        <v>3.9321109158221493E-4</v>
      </c>
      <c r="Q7" s="2"/>
    </row>
    <row r="8" spans="1:19">
      <c r="A8">
        <v>7</v>
      </c>
      <c r="B8" s="1">
        <v>35218</v>
      </c>
      <c r="C8">
        <v>6.41231302</v>
      </c>
      <c r="E8">
        <f t="shared" ca="1" si="4"/>
        <v>-1.846305782265635</v>
      </c>
      <c r="F8">
        <f t="shared" ca="1" si="7"/>
        <v>-2.9806760548896413E-3</v>
      </c>
      <c r="I8" s="2">
        <f t="shared" ca="1" si="5"/>
        <v>6.2022403598478569E-2</v>
      </c>
      <c r="J8">
        <f t="shared" ca="1" si="0"/>
        <v>6.202240359847857</v>
      </c>
      <c r="L8" s="2">
        <f t="shared" si="6"/>
        <v>6.3579946459612888E-2</v>
      </c>
      <c r="M8">
        <f t="shared" si="1"/>
        <v>6.3579946459612886</v>
      </c>
      <c r="N8">
        <f t="shared" si="2"/>
        <v>-5.4318374038711426E-2</v>
      </c>
      <c r="O8">
        <f t="shared" si="3"/>
        <v>2.9504857582093595E-3</v>
      </c>
      <c r="Q8" s="2"/>
      <c r="S8" s="1"/>
    </row>
    <row r="9" spans="1:19">
      <c r="A9">
        <v>8</v>
      </c>
      <c r="B9" t="s">
        <v>419</v>
      </c>
      <c r="C9">
        <v>7.1195731689999997</v>
      </c>
      <c r="E9">
        <f t="shared" ca="1" si="4"/>
        <v>1.5318474184644946</v>
      </c>
      <c r="F9">
        <f t="shared" ca="1" si="7"/>
        <v>2.47301447236908E-3</v>
      </c>
      <c r="I9" s="2">
        <f t="shared" ca="1" si="5"/>
        <v>6.4079160328575982E-2</v>
      </c>
      <c r="J9">
        <f t="shared" ca="1" si="0"/>
        <v>6.4079160328575986</v>
      </c>
      <c r="L9" s="2">
        <f t="shared" si="6"/>
        <v>6.3153235409548369E-2</v>
      </c>
      <c r="M9">
        <f t="shared" si="1"/>
        <v>6.3153235409548367</v>
      </c>
      <c r="N9">
        <f t="shared" si="2"/>
        <v>-0.80424962804516298</v>
      </c>
      <c r="O9">
        <f t="shared" si="3"/>
        <v>0.64681746421078301</v>
      </c>
      <c r="Q9" s="2"/>
    </row>
    <row r="10" spans="1:19">
      <c r="A10">
        <v>9</v>
      </c>
      <c r="B10" t="s">
        <v>420</v>
      </c>
      <c r="C10">
        <v>6.7581515809999999</v>
      </c>
      <c r="E10">
        <f t="shared" ca="1" si="4"/>
        <v>-1.4776942911474831</v>
      </c>
      <c r="F10">
        <f t="shared" ca="1" si="7"/>
        <v>-2.3855896636284968E-3</v>
      </c>
      <c r="I10" s="2">
        <f t="shared" ca="1" si="5"/>
        <v>6.1260603365430079E-2</v>
      </c>
      <c r="J10">
        <f t="shared" ca="1" si="0"/>
        <v>6.1260603365430075</v>
      </c>
      <c r="L10" s="2">
        <f t="shared" si="6"/>
        <v>6.2726524359483851E-2</v>
      </c>
      <c r="M10">
        <f t="shared" si="1"/>
        <v>6.2726524359483848</v>
      </c>
      <c r="N10">
        <f t="shared" si="2"/>
        <v>-0.48549914505161507</v>
      </c>
      <c r="O10">
        <f t="shared" si="3"/>
        <v>0.23570941984584917</v>
      </c>
      <c r="Q10" s="2"/>
    </row>
    <row r="11" spans="1:19">
      <c r="A11">
        <v>10</v>
      </c>
      <c r="B11" t="s">
        <v>421</v>
      </c>
      <c r="C11">
        <v>6.5069472519999998</v>
      </c>
      <c r="E11">
        <f t="shared" ca="1" si="4"/>
        <v>0.6460060600922477</v>
      </c>
      <c r="F11">
        <f t="shared" ca="1" si="7"/>
        <v>1.0429121834129246E-3</v>
      </c>
      <c r="I11" s="2">
        <f t="shared" ca="1" si="5"/>
        <v>6.1886776750438716E-2</v>
      </c>
      <c r="J11">
        <f t="shared" ca="1" si="0"/>
        <v>6.1886776750438717</v>
      </c>
      <c r="L11" s="2">
        <f t="shared" si="6"/>
        <v>6.2299813309419333E-2</v>
      </c>
      <c r="M11">
        <f t="shared" si="1"/>
        <v>6.229981330941933</v>
      </c>
      <c r="N11">
        <f t="shared" si="2"/>
        <v>-0.27696592105806683</v>
      </c>
      <c r="O11">
        <f t="shared" si="3"/>
        <v>7.6710121427543312E-2</v>
      </c>
      <c r="Q11" s="2"/>
    </row>
    <row r="12" spans="1:19">
      <c r="A12">
        <v>11</v>
      </c>
      <c r="B12" s="1">
        <v>35188</v>
      </c>
      <c r="C12">
        <v>6.4280838559999998</v>
      </c>
      <c r="E12">
        <f t="shared" ca="1" si="4"/>
        <v>0.16051376075953655</v>
      </c>
      <c r="F12">
        <f t="shared" ca="1" si="7"/>
        <v>2.591334153701958E-4</v>
      </c>
      <c r="I12" s="2">
        <f t="shared" ca="1" si="5"/>
        <v>6.1722028133271663E-2</v>
      </c>
      <c r="J12">
        <f t="shared" ca="1" si="0"/>
        <v>6.172202813327166</v>
      </c>
      <c r="L12" s="2">
        <f t="shared" si="6"/>
        <v>6.1873102259354815E-2</v>
      </c>
      <c r="M12">
        <f t="shared" si="1"/>
        <v>6.1873102259354811</v>
      </c>
      <c r="N12">
        <f t="shared" si="2"/>
        <v>-0.24077363006451868</v>
      </c>
      <c r="O12">
        <f t="shared" si="3"/>
        <v>5.7971940934445694E-2</v>
      </c>
      <c r="Q12" s="2"/>
      <c r="S12" s="1"/>
    </row>
    <row r="13" spans="1:19">
      <c r="A13">
        <v>12</v>
      </c>
      <c r="B13" s="1">
        <v>35402</v>
      </c>
      <c r="C13">
        <v>6.5536100910000004</v>
      </c>
      <c r="E13">
        <f t="shared" ca="1" si="4"/>
        <v>-0.40120150046300951</v>
      </c>
      <c r="F13">
        <f t="shared" ca="1" si="7"/>
        <v>-6.4769970234748253E-4</v>
      </c>
      <c r="I13" s="2">
        <f t="shared" ca="1" si="5"/>
        <v>6.0648659271384374E-2</v>
      </c>
      <c r="J13">
        <f t="shared" ca="1" si="0"/>
        <v>6.0648659271384373</v>
      </c>
      <c r="L13" s="2">
        <f t="shared" si="6"/>
        <v>6.1446391209290296E-2</v>
      </c>
      <c r="M13">
        <f t="shared" si="1"/>
        <v>6.1446391209290301</v>
      </c>
      <c r="N13">
        <f t="shared" si="2"/>
        <v>-0.40897097007097027</v>
      </c>
      <c r="O13">
        <f t="shared" si="3"/>
        <v>0.16725725436079047</v>
      </c>
      <c r="Q13" s="2"/>
      <c r="S13" s="1"/>
    </row>
    <row r="14" spans="1:19">
      <c r="A14">
        <v>13</v>
      </c>
      <c r="B14" t="s">
        <v>422</v>
      </c>
      <c r="C14">
        <v>6.5539514370000003</v>
      </c>
      <c r="E14">
        <f t="shared" ca="1" si="4"/>
        <v>8.2957021949155579E-2</v>
      </c>
      <c r="F14">
        <f t="shared" ca="1" si="7"/>
        <v>1.3392581623471677E-4</v>
      </c>
      <c r="I14" s="2">
        <f t="shared" ca="1" si="5"/>
        <v>6.0361413842678922E-2</v>
      </c>
      <c r="J14">
        <f t="shared" ca="1" si="0"/>
        <v>6.0361413842678919</v>
      </c>
      <c r="L14" s="2">
        <f t="shared" si="6"/>
        <v>6.1019680159225785E-2</v>
      </c>
      <c r="M14">
        <f t="shared" si="1"/>
        <v>6.1019680159225782</v>
      </c>
      <c r="N14">
        <f t="shared" si="2"/>
        <v>-0.45198342107742207</v>
      </c>
      <c r="O14">
        <f t="shared" si="3"/>
        <v>0.20428901292885021</v>
      </c>
      <c r="Q14" s="2"/>
    </row>
    <row r="15" spans="1:19">
      <c r="A15">
        <v>14</v>
      </c>
      <c r="B15" t="s">
        <v>423</v>
      </c>
      <c r="C15">
        <v>6.6488213829999996</v>
      </c>
      <c r="E15">
        <f t="shared" ca="1" si="4"/>
        <v>-0.42836905844225548</v>
      </c>
      <c r="F15">
        <f t="shared" ca="1" si="7"/>
        <v>-6.9155900794917724E-4</v>
      </c>
      <c r="I15" s="2">
        <f t="shared" ca="1" si="5"/>
        <v>5.9247747045620101E-2</v>
      </c>
      <c r="J15">
        <f t="shared" ca="1" si="0"/>
        <v>5.9247747045620098</v>
      </c>
      <c r="L15" s="2">
        <f t="shared" si="6"/>
        <v>6.0592969109161267E-2</v>
      </c>
      <c r="M15">
        <f t="shared" si="1"/>
        <v>6.0592969109161263</v>
      </c>
      <c r="N15">
        <f t="shared" si="2"/>
        <v>-0.58952447208387326</v>
      </c>
      <c r="O15">
        <f t="shared" si="3"/>
        <v>0.34753910318576947</v>
      </c>
      <c r="Q15" s="2"/>
    </row>
    <row r="16" spans="1:19">
      <c r="A16">
        <v>15</v>
      </c>
      <c r="B16" s="1">
        <v>35099</v>
      </c>
      <c r="C16">
        <v>6.6489949910000004</v>
      </c>
      <c r="E16">
        <f t="shared" ca="1" si="4"/>
        <v>1.0813952865658756</v>
      </c>
      <c r="F16">
        <f t="shared" ca="1" si="7"/>
        <v>1.7458045506319494E-3</v>
      </c>
      <c r="I16" s="2">
        <f t="shared" ca="1" si="5"/>
        <v>6.05763139410012E-2</v>
      </c>
      <c r="J16">
        <f t="shared" ca="1" si="0"/>
        <v>6.0576313941001203</v>
      </c>
      <c r="L16" s="2">
        <f t="shared" si="6"/>
        <v>6.0166258059096749E-2</v>
      </c>
      <c r="M16">
        <f t="shared" si="1"/>
        <v>6.0166258059096744</v>
      </c>
      <c r="N16">
        <f t="shared" si="2"/>
        <v>-0.63236918509032591</v>
      </c>
      <c r="O16">
        <f t="shared" si="3"/>
        <v>0.39989078625180285</v>
      </c>
      <c r="Q16" s="2"/>
      <c r="S16" s="1"/>
    </row>
    <row r="17" spans="1:19">
      <c r="A17">
        <v>16</v>
      </c>
      <c r="B17" s="1">
        <v>35312</v>
      </c>
      <c r="C17">
        <v>6.585123286</v>
      </c>
      <c r="E17">
        <f t="shared" ca="1" si="4"/>
        <v>-0.42649914523591237</v>
      </c>
      <c r="F17">
        <f t="shared" ca="1" si="7"/>
        <v>-6.8854022006885687E-4</v>
      </c>
      <c r="I17" s="2">
        <f t="shared" ca="1" si="5"/>
        <v>5.9458154473123817E-2</v>
      </c>
      <c r="J17">
        <f t="shared" ca="1" si="0"/>
        <v>5.9458154473123814</v>
      </c>
      <c r="L17" s="2">
        <f t="shared" si="6"/>
        <v>5.973954700903223E-2</v>
      </c>
      <c r="M17">
        <f t="shared" si="1"/>
        <v>5.9739547009032234</v>
      </c>
      <c r="N17">
        <f t="shared" si="2"/>
        <v>-0.61116858509677652</v>
      </c>
      <c r="O17">
        <f t="shared" si="3"/>
        <v>0.37352703940919574</v>
      </c>
      <c r="Q17" s="2"/>
      <c r="S17" s="1"/>
    </row>
    <row r="18" spans="1:19">
      <c r="A18">
        <v>17</v>
      </c>
      <c r="B18" t="s">
        <v>424</v>
      </c>
      <c r="C18">
        <v>6.1768133230000002</v>
      </c>
      <c r="E18">
        <f t="shared" ca="1" si="4"/>
        <v>1.3271896430423245</v>
      </c>
      <c r="F18">
        <f t="shared" ca="1" si="7"/>
        <v>2.1426149597275285E-3</v>
      </c>
      <c r="I18" s="2">
        <f t="shared" ca="1" si="5"/>
        <v>6.1176068329471887E-2</v>
      </c>
      <c r="J18">
        <f t="shared" ca="1" si="0"/>
        <v>6.1176068329471889</v>
      </c>
      <c r="L18" s="2">
        <f t="shared" si="6"/>
        <v>5.9312835958967719E-2</v>
      </c>
      <c r="M18">
        <f t="shared" si="1"/>
        <v>5.9312835958967716</v>
      </c>
      <c r="N18">
        <f t="shared" si="2"/>
        <v>-0.24552972710322862</v>
      </c>
      <c r="O18">
        <f t="shared" si="3"/>
        <v>6.028484689138592E-2</v>
      </c>
      <c r="Q18" s="2"/>
    </row>
    <row r="19" spans="1:19">
      <c r="A19">
        <v>18</v>
      </c>
      <c r="B19" t="s">
        <v>425</v>
      </c>
      <c r="C19">
        <v>6.0669253110000003</v>
      </c>
      <c r="E19">
        <f t="shared" ca="1" si="4"/>
        <v>2.0851011580808221</v>
      </c>
      <c r="F19">
        <f t="shared" ca="1" si="7"/>
        <v>3.3661873096056793E-3</v>
      </c>
      <c r="I19" s="2">
        <f t="shared" ca="1" si="5"/>
        <v>6.4102140039584962E-2</v>
      </c>
      <c r="J19">
        <f t="shared" ca="1" si="0"/>
        <v>6.4102140039584965</v>
      </c>
      <c r="L19" s="2">
        <f t="shared" si="6"/>
        <v>5.8886124908903208E-2</v>
      </c>
      <c r="M19">
        <f t="shared" si="1"/>
        <v>5.8886124908903206</v>
      </c>
      <c r="N19">
        <f t="shared" si="2"/>
        <v>-0.17831282010967975</v>
      </c>
      <c r="O19">
        <f t="shared" si="3"/>
        <v>3.179546181546701E-2</v>
      </c>
      <c r="Q19" s="2"/>
    </row>
    <row r="20" spans="1:19">
      <c r="A20">
        <v>19</v>
      </c>
      <c r="B20" t="s">
        <v>426</v>
      </c>
      <c r="C20">
        <v>5.7052705660000003</v>
      </c>
      <c r="E20">
        <f t="shared" ca="1" si="4"/>
        <v>0.50006166367893812</v>
      </c>
      <c r="F20">
        <f t="shared" ca="1" si="7"/>
        <v>8.0729954984327772E-4</v>
      </c>
      <c r="I20" s="2">
        <f t="shared" ca="1" si="5"/>
        <v>6.4444931328271823E-2</v>
      </c>
      <c r="J20">
        <f t="shared" ca="1" si="0"/>
        <v>6.4444931328271826</v>
      </c>
      <c r="L20" s="2">
        <f t="shared" si="6"/>
        <v>5.8459413858838689E-2</v>
      </c>
      <c r="M20">
        <f t="shared" si="1"/>
        <v>5.8459413858838687</v>
      </c>
      <c r="N20">
        <f t="shared" si="2"/>
        <v>0.14067081988386843</v>
      </c>
      <c r="O20">
        <f t="shared" si="3"/>
        <v>1.9788279566799752E-2</v>
      </c>
      <c r="Q20" s="2"/>
    </row>
    <row r="21" spans="1:19">
      <c r="A21">
        <v>20</v>
      </c>
      <c r="B21" s="1">
        <v>35251</v>
      </c>
      <c r="C21">
        <v>5.7838570980000004</v>
      </c>
      <c r="E21">
        <f t="shared" ca="1" si="4"/>
        <v>1.4479952300965908</v>
      </c>
      <c r="F21">
        <f t="shared" ca="1" si="7"/>
        <v>2.3376434994679361E-3</v>
      </c>
      <c r="I21" s="2">
        <f t="shared" ca="1" si="5"/>
        <v>6.6312173869139235E-2</v>
      </c>
      <c r="J21">
        <f t="shared" ca="1" si="0"/>
        <v>6.6312173869139235</v>
      </c>
      <c r="L21" s="2">
        <f t="shared" si="6"/>
        <v>5.8032702808774171E-2</v>
      </c>
      <c r="M21">
        <f t="shared" si="1"/>
        <v>5.8032702808774168</v>
      </c>
      <c r="N21">
        <f t="shared" si="2"/>
        <v>1.9413182877416446E-2</v>
      </c>
      <c r="O21">
        <f t="shared" si="3"/>
        <v>3.7687166943201506E-4</v>
      </c>
      <c r="Q21" s="2"/>
      <c r="S21" s="1"/>
    </row>
    <row r="22" spans="1:19">
      <c r="A22">
        <v>21</v>
      </c>
      <c r="B22" t="s">
        <v>427</v>
      </c>
      <c r="C22">
        <v>5.6737736999999999</v>
      </c>
      <c r="E22">
        <f t="shared" ca="1" si="4"/>
        <v>1.844212516838744</v>
      </c>
      <c r="F22">
        <f t="shared" ca="1" si="7"/>
        <v>2.9772966871844681E-3</v>
      </c>
      <c r="I22" s="2">
        <f t="shared" ca="1" si="5"/>
        <v>6.8801881042580032E-2</v>
      </c>
      <c r="J22">
        <f t="shared" ca="1" si="0"/>
        <v>6.8801881042580035</v>
      </c>
      <c r="L22" s="2">
        <f t="shared" si="6"/>
        <v>5.760599175870966E-2</v>
      </c>
      <c r="M22">
        <f t="shared" si="1"/>
        <v>5.7605991758709658</v>
      </c>
      <c r="N22">
        <f t="shared" si="2"/>
        <v>8.6825475870965896E-2</v>
      </c>
      <c r="O22">
        <f t="shared" si="3"/>
        <v>7.538663260219681E-3</v>
      </c>
      <c r="Q22" s="2"/>
    </row>
    <row r="23" spans="1:19">
      <c r="A23">
        <v>22</v>
      </c>
      <c r="B23" t="s">
        <v>428</v>
      </c>
      <c r="C23">
        <v>5.8625919489999996</v>
      </c>
      <c r="E23">
        <f t="shared" ca="1" si="4"/>
        <v>1.080083135480792</v>
      </c>
      <c r="F23">
        <f t="shared" ca="1" si="7"/>
        <v>1.7436862139201907E-3</v>
      </c>
      <c r="I23" s="2">
        <f t="shared" ca="1" si="5"/>
        <v>7.0035923693221855E-2</v>
      </c>
      <c r="J23">
        <f t="shared" ca="1" si="0"/>
        <v>7.0035923693221855</v>
      </c>
      <c r="L23" s="2">
        <f t="shared" si="6"/>
        <v>5.7179280708645142E-2</v>
      </c>
      <c r="M23">
        <f t="shared" si="1"/>
        <v>5.7179280708645139</v>
      </c>
      <c r="N23">
        <f t="shared" si="2"/>
        <v>-0.14466387813548565</v>
      </c>
      <c r="O23">
        <f t="shared" si="3"/>
        <v>2.0927637637198643E-2</v>
      </c>
      <c r="Q23" s="2"/>
    </row>
    <row r="24" spans="1:19">
      <c r="A24">
        <v>23</v>
      </c>
      <c r="B24" t="s">
        <v>429</v>
      </c>
      <c r="C24">
        <v>5.8942390619999996</v>
      </c>
      <c r="E24">
        <f t="shared" ca="1" si="4"/>
        <v>0.62769017215073486</v>
      </c>
      <c r="F24">
        <f t="shared" ca="1" si="7"/>
        <v>1.0133430139201464E-3</v>
      </c>
      <c r="I24" s="2">
        <f t="shared" ca="1" si="5"/>
        <v>7.0526610560177658E-2</v>
      </c>
      <c r="J24">
        <f t="shared" ca="1" si="0"/>
        <v>7.0526610560177661</v>
      </c>
      <c r="L24" s="2">
        <f t="shared" si="6"/>
        <v>5.6752569658580623E-2</v>
      </c>
      <c r="M24">
        <f t="shared" si="1"/>
        <v>5.6752569658580621</v>
      </c>
      <c r="N24">
        <f t="shared" si="2"/>
        <v>-0.21898209614193753</v>
      </c>
      <c r="O24">
        <f t="shared" si="3"/>
        <v>4.795315843071677E-2</v>
      </c>
      <c r="Q24" s="2"/>
    </row>
    <row r="25" spans="1:19">
      <c r="A25">
        <v>24</v>
      </c>
      <c r="B25" s="1">
        <v>35161</v>
      </c>
      <c r="C25">
        <v>5.8627462039999996</v>
      </c>
      <c r="E25">
        <f t="shared" ca="1" si="4"/>
        <v>0.86162513627881698</v>
      </c>
      <c r="F25">
        <f t="shared" ca="1" si="7"/>
        <v>1.391007620008522E-3</v>
      </c>
      <c r="I25" s="2">
        <f t="shared" ca="1" si="5"/>
        <v>7.1387342912816412E-2</v>
      </c>
      <c r="J25">
        <f t="shared" ca="1" si="0"/>
        <v>7.1387342912816409</v>
      </c>
      <c r="L25" s="2">
        <f t="shared" si="6"/>
        <v>5.6325858608516105E-2</v>
      </c>
      <c r="M25">
        <f t="shared" si="1"/>
        <v>5.6325858608516102</v>
      </c>
      <c r="N25">
        <f t="shared" si="2"/>
        <v>-0.2301603431483894</v>
      </c>
      <c r="O25">
        <f t="shared" si="3"/>
        <v>5.2973783558184363E-2</v>
      </c>
      <c r="Q25" s="2"/>
      <c r="S25" s="1"/>
    </row>
    <row r="26" spans="1:19">
      <c r="A26">
        <v>25</v>
      </c>
      <c r="B26" s="1">
        <v>35375</v>
      </c>
      <c r="C26">
        <v>5.6734751609999998</v>
      </c>
      <c r="E26">
        <f t="shared" ca="1" si="4"/>
        <v>0.2797888378034854</v>
      </c>
      <c r="F26">
        <f t="shared" ca="1" si="7"/>
        <v>4.5169109974994685E-4</v>
      </c>
      <c r="I26" s="2">
        <f t="shared" ca="1" si="5"/>
        <v>7.1298220808681395E-2</v>
      </c>
      <c r="J26">
        <f t="shared" ca="1" si="0"/>
        <v>7.1298220808681396</v>
      </c>
      <c r="L26" s="2">
        <f t="shared" si="6"/>
        <v>5.5899147558451587E-2</v>
      </c>
      <c r="M26">
        <f t="shared" si="1"/>
        <v>5.5899147558451583</v>
      </c>
      <c r="N26">
        <f t="shared" si="2"/>
        <v>-8.3560405154841533E-2</v>
      </c>
      <c r="O26">
        <f t="shared" si="3"/>
        <v>6.982341309641267E-3</v>
      </c>
      <c r="Q26" s="2"/>
      <c r="S26" s="1"/>
    </row>
    <row r="27" spans="1:19">
      <c r="A27">
        <v>26</v>
      </c>
      <c r="B27" t="s">
        <v>430</v>
      </c>
      <c r="C27">
        <v>5.2330280829999998</v>
      </c>
      <c r="E27">
        <f t="shared" ca="1" si="4"/>
        <v>-1.4358543219611879E-2</v>
      </c>
      <c r="F27">
        <f t="shared" ca="1" si="7"/>
        <v>-2.3180432173741416E-5</v>
      </c>
      <c r="I27" s="2">
        <f t="shared" ca="1" si="5"/>
        <v>7.0730779148960463E-2</v>
      </c>
      <c r="J27">
        <f t="shared" ca="1" si="0"/>
        <v>7.0730779148960465</v>
      </c>
      <c r="L27" s="2">
        <f t="shared" si="6"/>
        <v>5.5472436508387069E-2</v>
      </c>
      <c r="M27">
        <f t="shared" si="1"/>
        <v>5.5472436508387073</v>
      </c>
      <c r="N27">
        <f t="shared" si="2"/>
        <v>0.31421556783870752</v>
      </c>
      <c r="O27">
        <f t="shared" si="3"/>
        <v>9.873142307220141E-2</v>
      </c>
      <c r="Q27" s="2"/>
    </row>
    <row r="28" spans="1:19">
      <c r="A28">
        <v>27</v>
      </c>
      <c r="B28" t="s">
        <v>431</v>
      </c>
      <c r="C28">
        <v>5.5476889700000003</v>
      </c>
      <c r="E28">
        <f t="shared" ca="1" si="4"/>
        <v>-0.64655484593696078</v>
      </c>
      <c r="F28">
        <f t="shared" ca="1" si="7"/>
        <v>-1.0437981432806294E-3</v>
      </c>
      <c r="I28" s="2">
        <f t="shared" ca="1" si="5"/>
        <v>6.9142898089149363E-2</v>
      </c>
      <c r="J28">
        <f t="shared" ca="1" si="0"/>
        <v>6.9142898089149361</v>
      </c>
      <c r="L28" s="2">
        <f t="shared" si="6"/>
        <v>5.5045725458322557E-2</v>
      </c>
      <c r="M28">
        <f t="shared" si="1"/>
        <v>5.5045725458322554</v>
      </c>
      <c r="N28">
        <f t="shared" si="2"/>
        <v>-4.311642416774486E-2</v>
      </c>
      <c r="O28">
        <f t="shared" si="3"/>
        <v>1.8590260330128932E-3</v>
      </c>
      <c r="Q28" s="2"/>
    </row>
    <row r="29" spans="1:19">
      <c r="A29">
        <v>28</v>
      </c>
      <c r="B29" s="1">
        <v>35102</v>
      </c>
      <c r="C29">
        <v>5.7682105259999998</v>
      </c>
      <c r="E29">
        <f t="shared" ca="1" si="4"/>
        <v>0.22628112108277232</v>
      </c>
      <c r="F29">
        <f t="shared" ca="1" si="7"/>
        <v>3.6530824187602762E-4</v>
      </c>
      <c r="I29" s="2">
        <f t="shared" ca="1" si="5"/>
        <v>6.8972214872969964E-2</v>
      </c>
      <c r="J29">
        <f t="shared" ca="1" si="0"/>
        <v>6.8972214872969966</v>
      </c>
      <c r="L29" s="2">
        <f t="shared" si="6"/>
        <v>5.4619014408258039E-2</v>
      </c>
      <c r="M29">
        <f t="shared" si="1"/>
        <v>5.4619014408258035</v>
      </c>
      <c r="N29">
        <f t="shared" si="2"/>
        <v>-0.3063090851741963</v>
      </c>
      <c r="O29">
        <f t="shared" si="3"/>
        <v>9.3825255660253043E-2</v>
      </c>
      <c r="Q29" s="2"/>
      <c r="S29" s="1"/>
    </row>
    <row r="30" spans="1:19">
      <c r="A30">
        <v>29</v>
      </c>
      <c r="B30" s="1">
        <v>35315</v>
      </c>
      <c r="C30">
        <v>5.7995538560000002</v>
      </c>
      <c r="E30">
        <f t="shared" ca="1" si="4"/>
        <v>-1.5232425779519252</v>
      </c>
      <c r="F30">
        <f t="shared" ca="1" si="7"/>
        <v>-2.4591228178455879E-3</v>
      </c>
      <c r="I30" s="2">
        <f t="shared" ca="1" si="5"/>
        <v>6.5974246626429298E-2</v>
      </c>
      <c r="J30">
        <f t="shared" ca="1" si="0"/>
        <v>6.59742466264293</v>
      </c>
      <c r="L30" s="2">
        <f t="shared" si="6"/>
        <v>5.4192303358193521E-2</v>
      </c>
      <c r="M30">
        <f t="shared" si="1"/>
        <v>5.4192303358193517</v>
      </c>
      <c r="N30">
        <f t="shared" si="2"/>
        <v>-0.38032352018064852</v>
      </c>
      <c r="O30">
        <f t="shared" si="3"/>
        <v>0.14464598000260018</v>
      </c>
      <c r="Q30" s="2"/>
      <c r="S30" s="1"/>
    </row>
    <row r="31" spans="1:19">
      <c r="A31">
        <v>30</v>
      </c>
      <c r="B31" t="s">
        <v>432</v>
      </c>
      <c r="C31">
        <v>5.5168699869999998</v>
      </c>
      <c r="E31">
        <f t="shared" ca="1" si="4"/>
        <v>0.66108587312406253</v>
      </c>
      <c r="F31">
        <f t="shared" ca="1" si="7"/>
        <v>1.0672570335714866E-3</v>
      </c>
      <c r="I31" s="2">
        <f t="shared" ca="1" si="5"/>
        <v>6.6522021403099763E-2</v>
      </c>
      <c r="J31">
        <f t="shared" ca="1" si="0"/>
        <v>6.652202140309976</v>
      </c>
      <c r="L31" s="2">
        <f t="shared" si="6"/>
        <v>5.3765592308129002E-2</v>
      </c>
      <c r="M31">
        <f t="shared" si="1"/>
        <v>5.3765592308129007</v>
      </c>
      <c r="N31">
        <f t="shared" si="2"/>
        <v>-0.14031075618709909</v>
      </c>
      <c r="O31">
        <f t="shared" si="3"/>
        <v>1.9687108301795566E-2</v>
      </c>
      <c r="Q31" s="2"/>
    </row>
    <row r="32" spans="1:19">
      <c r="A32">
        <v>31</v>
      </c>
      <c r="B32" t="s">
        <v>433</v>
      </c>
      <c r="C32">
        <v>5.4853670430000001</v>
      </c>
      <c r="E32">
        <f t="shared" ca="1" si="4"/>
        <v>-0.49452690896090157</v>
      </c>
      <c r="F32">
        <f t="shared" ca="1" si="7"/>
        <v>-7.983642418264795E-4</v>
      </c>
      <c r="I32" s="2">
        <f t="shared" ca="1" si="5"/>
        <v>6.5195704610455027E-2</v>
      </c>
      <c r="J32">
        <f t="shared" ca="1" si="0"/>
        <v>6.519570461045503</v>
      </c>
      <c r="L32" s="2">
        <f t="shared" si="6"/>
        <v>5.3338881258064491E-2</v>
      </c>
      <c r="M32">
        <f t="shared" si="1"/>
        <v>5.3338881258064488</v>
      </c>
      <c r="N32">
        <f t="shared" si="2"/>
        <v>-0.15147891719355133</v>
      </c>
      <c r="O32">
        <f t="shared" si="3"/>
        <v>2.2945862354130781E-2</v>
      </c>
      <c r="Q32" s="2"/>
    </row>
    <row r="33" spans="1:19">
      <c r="A33">
        <v>32</v>
      </c>
      <c r="B33" t="s">
        <v>434</v>
      </c>
      <c r="C33">
        <v>5.4694213549999997</v>
      </c>
      <c r="E33">
        <f t="shared" ca="1" si="4"/>
        <v>-0.64697391558992967</v>
      </c>
      <c r="F33">
        <f t="shared" ca="1" si="7"/>
        <v>-1.0444746893283824E-3</v>
      </c>
      <c r="I33" s="2">
        <f t="shared" ca="1" si="5"/>
        <v>6.3629664284243007E-2</v>
      </c>
      <c r="J33">
        <f t="shared" ca="1" si="0"/>
        <v>6.3629664284243006</v>
      </c>
      <c r="L33" s="2">
        <f t="shared" si="6"/>
        <v>5.2912170207999973E-2</v>
      </c>
      <c r="M33">
        <f t="shared" si="1"/>
        <v>5.2912170207999969</v>
      </c>
      <c r="N33">
        <f t="shared" si="2"/>
        <v>-0.17820433420000281</v>
      </c>
      <c r="O33">
        <f t="shared" si="3"/>
        <v>3.1756784727666292E-2</v>
      </c>
      <c r="Q33" s="2"/>
    </row>
    <row r="34" spans="1:19">
      <c r="A34">
        <v>33</v>
      </c>
      <c r="B34" s="1">
        <v>35224</v>
      </c>
      <c r="C34">
        <v>5.7372679289999997</v>
      </c>
      <c r="E34">
        <f t="shared" ca="1" si="4"/>
        <v>-1.840538481022147</v>
      </c>
      <c r="F34">
        <f t="shared" ca="1" si="7"/>
        <v>-2.9713653237621539E-3</v>
      </c>
      <c r="I34" s="2">
        <f t="shared" ca="1" si="5"/>
        <v>6.0145156506575669E-2</v>
      </c>
      <c r="J34">
        <f t="shared" ca="1" si="0"/>
        <v>6.0145156506575672</v>
      </c>
      <c r="L34" s="2">
        <f t="shared" si="6"/>
        <v>5.2485459157935455E-2</v>
      </c>
      <c r="M34">
        <f t="shared" si="1"/>
        <v>5.2485459157935459</v>
      </c>
      <c r="N34">
        <f t="shared" si="2"/>
        <v>-0.48872201320645381</v>
      </c>
      <c r="O34">
        <f t="shared" si="3"/>
        <v>0.23884920619256922</v>
      </c>
      <c r="Q34" s="2"/>
      <c r="S34" s="1"/>
    </row>
    <row r="35" spans="1:19">
      <c r="A35">
        <v>34</v>
      </c>
      <c r="B35" t="s">
        <v>435</v>
      </c>
      <c r="C35">
        <v>5.7054947609999997</v>
      </c>
      <c r="E35">
        <f t="shared" ca="1" si="4"/>
        <v>0.55419275371015542</v>
      </c>
      <c r="F35">
        <f t="shared" ca="1" si="7"/>
        <v>8.9468878158967485E-4</v>
      </c>
      <c r="I35" s="2">
        <f t="shared" ca="1" si="5"/>
        <v>6.0550860275916753E-2</v>
      </c>
      <c r="J35">
        <f t="shared" ca="1" si="0"/>
        <v>6.0550860275916749</v>
      </c>
      <c r="L35" s="2">
        <f t="shared" si="6"/>
        <v>5.2058748107870936E-2</v>
      </c>
      <c r="M35">
        <f t="shared" si="1"/>
        <v>5.205874810787094</v>
      </c>
      <c r="N35">
        <f t="shared" si="2"/>
        <v>-0.49961995021290573</v>
      </c>
      <c r="O35">
        <f t="shared" si="3"/>
        <v>0.24962009465074639</v>
      </c>
      <c r="Q35" s="2"/>
    </row>
    <row r="36" spans="1:19">
      <c r="A36">
        <v>35</v>
      </c>
      <c r="B36" t="s">
        <v>436</v>
      </c>
      <c r="C36">
        <v>5.6589671539999999</v>
      </c>
      <c r="E36">
        <f t="shared" ca="1" si="4"/>
        <v>-0.25235291560883</v>
      </c>
      <c r="F36">
        <f t="shared" ca="1" si="7"/>
        <v>-4.0739854695889517E-4</v>
      </c>
      <c r="I36" s="2">
        <f t="shared" ca="1" si="5"/>
        <v>5.9647143202106075E-2</v>
      </c>
      <c r="J36">
        <f t="shared" ca="1" si="0"/>
        <v>5.9647143202106072</v>
      </c>
      <c r="L36" s="2">
        <f t="shared" si="6"/>
        <v>5.1632037057806418E-2</v>
      </c>
      <c r="M36">
        <f t="shared" si="1"/>
        <v>5.1632037057806421</v>
      </c>
      <c r="N36">
        <f t="shared" si="2"/>
        <v>-0.49576344821935781</v>
      </c>
      <c r="O36">
        <f t="shared" si="3"/>
        <v>0.24578139659034787</v>
      </c>
      <c r="Q36" s="2"/>
    </row>
    <row r="37" spans="1:19">
      <c r="A37">
        <v>36</v>
      </c>
      <c r="B37" t="s">
        <v>437</v>
      </c>
      <c r="C37">
        <v>5.4545083029999999</v>
      </c>
      <c r="E37">
        <f t="shared" ca="1" si="4"/>
        <v>-1.4047844464904831</v>
      </c>
      <c r="F37">
        <f t="shared" ca="1" si="7"/>
        <v>-2.2678840104142358E-3</v>
      </c>
      <c r="I37" s="2">
        <f t="shared" ca="1" si="5"/>
        <v>5.6886307594980222E-2</v>
      </c>
      <c r="J37">
        <f t="shared" ca="1" si="0"/>
        <v>5.6886307594980225</v>
      </c>
      <c r="L37" s="2">
        <f t="shared" si="6"/>
        <v>5.1205326007741907E-2</v>
      </c>
      <c r="M37">
        <f t="shared" si="1"/>
        <v>5.1205326007741903</v>
      </c>
      <c r="N37">
        <f t="shared" si="2"/>
        <v>-0.33397570222580963</v>
      </c>
      <c r="O37">
        <f t="shared" si="3"/>
        <v>0.11153976967722266</v>
      </c>
      <c r="Q37" s="2"/>
    </row>
    <row r="38" spans="1:19">
      <c r="A38">
        <v>37</v>
      </c>
      <c r="B38" s="1">
        <v>35133</v>
      </c>
      <c r="C38">
        <v>5.4859446050000003</v>
      </c>
      <c r="E38">
        <f t="shared" ca="1" si="4"/>
        <v>0.92310177359780288</v>
      </c>
      <c r="F38">
        <f t="shared" ca="1" si="7"/>
        <v>1.4902555032962929E-3</v>
      </c>
      <c r="I38" s="2">
        <f t="shared" ca="1" si="5"/>
        <v>5.7902510534985019E-2</v>
      </c>
      <c r="J38">
        <f t="shared" ca="1" si="0"/>
        <v>5.7902510534985021</v>
      </c>
      <c r="L38" s="2">
        <f t="shared" si="6"/>
        <v>5.0778614957677395E-2</v>
      </c>
      <c r="M38">
        <f t="shared" si="1"/>
        <v>5.0778614957677393</v>
      </c>
      <c r="N38">
        <f t="shared" si="2"/>
        <v>-0.40808310923226099</v>
      </c>
      <c r="O38">
        <f t="shared" si="3"/>
        <v>0.16653182404066946</v>
      </c>
      <c r="Q38" s="2"/>
      <c r="S38" s="1"/>
    </row>
    <row r="39" spans="1:19">
      <c r="A39">
        <v>38</v>
      </c>
      <c r="B39" s="1">
        <v>35347</v>
      </c>
      <c r="C39">
        <v>5.4237416869999997</v>
      </c>
      <c r="E39">
        <f t="shared" ca="1" si="4"/>
        <v>1.7109869241787874</v>
      </c>
      <c r="F39">
        <f t="shared" ca="1" si="7"/>
        <v>2.7622172903942342E-3</v>
      </c>
      <c r="I39" s="2">
        <f t="shared" ca="1" si="5"/>
        <v>6.0178152106597868E-2</v>
      </c>
      <c r="J39">
        <f t="shared" ca="1" si="0"/>
        <v>6.0178152106597871</v>
      </c>
      <c r="L39" s="2">
        <f t="shared" si="6"/>
        <v>5.0351903907612884E-2</v>
      </c>
      <c r="M39">
        <f t="shared" si="1"/>
        <v>5.0351903907612883</v>
      </c>
      <c r="N39">
        <f t="shared" si="2"/>
        <v>-0.38855129623871143</v>
      </c>
      <c r="O39">
        <f t="shared" si="3"/>
        <v>0.15097210980878289</v>
      </c>
      <c r="Q39" s="2"/>
      <c r="S39" s="1"/>
    </row>
    <row r="40" spans="1:19">
      <c r="A40">
        <v>39</v>
      </c>
      <c r="B40" t="s">
        <v>438</v>
      </c>
      <c r="C40">
        <v>5.2031264779999997</v>
      </c>
      <c r="E40">
        <f t="shared" ca="1" si="4"/>
        <v>-1.2162409844728881</v>
      </c>
      <c r="F40">
        <f t="shared" ca="1" si="7"/>
        <v>-1.9634994453330305E-3</v>
      </c>
      <c r="I40" s="2">
        <f t="shared" ca="1" si="5"/>
        <v>5.7704668321378418E-2</v>
      </c>
      <c r="J40">
        <f t="shared" ca="1" si="0"/>
        <v>5.7704668321378421</v>
      </c>
      <c r="L40" s="2">
        <f t="shared" si="6"/>
        <v>4.9925192857548366E-2</v>
      </c>
      <c r="M40">
        <f t="shared" si="1"/>
        <v>4.9925192857548364</v>
      </c>
      <c r="N40">
        <f t="shared" si="2"/>
        <v>-0.21060719224516333</v>
      </c>
      <c r="O40">
        <f t="shared" si="3"/>
        <v>4.435538942539119E-2</v>
      </c>
      <c r="Q40" s="2"/>
    </row>
    <row r="41" spans="1:19">
      <c r="A41">
        <v>40</v>
      </c>
      <c r="B41" t="s">
        <v>439</v>
      </c>
      <c r="C41">
        <v>5.1088103609999997</v>
      </c>
      <c r="E41">
        <f t="shared" ca="1" si="4"/>
        <v>-0.36536907162790266</v>
      </c>
      <c r="F41">
        <f t="shared" ca="1" si="7"/>
        <v>-5.8985182923608601E-4</v>
      </c>
      <c r="I41" s="2">
        <f t="shared" ca="1" si="5"/>
        <v>5.6621614198797222E-2</v>
      </c>
      <c r="J41">
        <f t="shared" ca="1" si="0"/>
        <v>5.6621614198797223</v>
      </c>
      <c r="L41" s="2">
        <f t="shared" si="6"/>
        <v>4.9498481807483855E-2</v>
      </c>
      <c r="M41">
        <f t="shared" si="1"/>
        <v>4.9498481807483854</v>
      </c>
      <c r="N41">
        <f t="shared" si="2"/>
        <v>-0.15896218025161435</v>
      </c>
      <c r="O41">
        <f t="shared" si="3"/>
        <v>2.5268974750346732E-2</v>
      </c>
      <c r="Q41" s="2"/>
    </row>
    <row r="42" spans="1:19">
      <c r="A42">
        <v>41</v>
      </c>
      <c r="B42" s="1">
        <v>35074</v>
      </c>
      <c r="C42">
        <v>5.2974692560000003</v>
      </c>
      <c r="E42">
        <f t="shared" ca="1" si="4"/>
        <v>-0.35414677551280216</v>
      </c>
      <c r="F42">
        <f t="shared" ca="1" si="7"/>
        <v>-5.7173455438786782E-4</v>
      </c>
      <c r="I42" s="2">
        <f t="shared" ca="1" si="5"/>
        <v>5.5561762280626627E-2</v>
      </c>
      <c r="J42">
        <f t="shared" ca="1" si="0"/>
        <v>5.5561762280626628</v>
      </c>
      <c r="L42" s="2">
        <f t="shared" si="6"/>
        <v>4.9071770757419343E-2</v>
      </c>
      <c r="M42">
        <f t="shared" si="1"/>
        <v>4.9071770757419344</v>
      </c>
      <c r="N42">
        <f t="shared" si="2"/>
        <v>-0.39029218025806589</v>
      </c>
      <c r="O42">
        <f t="shared" si="3"/>
        <v>0.1523279859705946</v>
      </c>
      <c r="Q42" s="2"/>
      <c r="S42" s="1"/>
    </row>
    <row r="43" spans="1:19">
      <c r="A43">
        <v>42</v>
      </c>
      <c r="B43" s="1">
        <v>35287</v>
      </c>
      <c r="C43">
        <v>5.1873179330000001</v>
      </c>
      <c r="E43">
        <f t="shared" ca="1" si="4"/>
        <v>-0.25848055654719959</v>
      </c>
      <c r="F43">
        <f t="shared" ca="1" si="7"/>
        <v>-4.17291010489799E-4</v>
      </c>
      <c r="I43" s="2">
        <f t="shared" ca="1" si="5"/>
        <v>5.4661325511174863E-2</v>
      </c>
      <c r="J43">
        <f t="shared" ca="1" si="0"/>
        <v>5.4661325511174859</v>
      </c>
      <c r="L43" s="2">
        <f t="shared" si="6"/>
        <v>4.8645059707354832E-2</v>
      </c>
      <c r="M43">
        <f t="shared" si="1"/>
        <v>4.8645059707354834</v>
      </c>
      <c r="N43">
        <f t="shared" si="2"/>
        <v>-0.32281196226451669</v>
      </c>
      <c r="O43">
        <f t="shared" si="3"/>
        <v>0.10420756298106774</v>
      </c>
      <c r="Q43" s="2"/>
      <c r="S43" s="1"/>
    </row>
    <row r="44" spans="1:19">
      <c r="A44">
        <v>43</v>
      </c>
      <c r="B44" t="s">
        <v>440</v>
      </c>
      <c r="C44">
        <v>5.1873179330000001</v>
      </c>
      <c r="E44">
        <f t="shared" ca="1" si="4"/>
        <v>0.21786970122265092</v>
      </c>
      <c r="F44">
        <f t="shared" ca="1" si="7"/>
        <v>3.5172884565384767E-4</v>
      </c>
      <c r="I44" s="2">
        <f t="shared" ca="1" si="5"/>
        <v>5.4533569045327177E-2</v>
      </c>
      <c r="J44">
        <f t="shared" ca="1" si="0"/>
        <v>5.4533569045327175</v>
      </c>
      <c r="L44" s="2">
        <f t="shared" si="6"/>
        <v>4.8218348657290314E-2</v>
      </c>
      <c r="M44">
        <f t="shared" si="1"/>
        <v>4.8218348657290315</v>
      </c>
      <c r="N44">
        <f t="shared" si="2"/>
        <v>-0.36548306727096858</v>
      </c>
      <c r="O44">
        <f t="shared" si="3"/>
        <v>0.13357787246179534</v>
      </c>
      <c r="Q44" s="2"/>
    </row>
    <row r="45" spans="1:19">
      <c r="A45">
        <v>44</v>
      </c>
      <c r="B45" t="s">
        <v>441</v>
      </c>
      <c r="C45">
        <v>4.8413838460000003</v>
      </c>
      <c r="E45">
        <f t="shared" ca="1" si="4"/>
        <v>-0.26907874798423559</v>
      </c>
      <c r="F45">
        <f t="shared" ca="1" si="7"/>
        <v>-4.3440073074574992E-4</v>
      </c>
      <c r="I45" s="2">
        <f t="shared" ca="1" si="5"/>
        <v>5.3616570358428088E-2</v>
      </c>
      <c r="J45">
        <f t="shared" ca="1" si="0"/>
        <v>5.3616570358428088</v>
      </c>
      <c r="L45" s="2">
        <f t="shared" si="6"/>
        <v>4.7791637607225795E-2</v>
      </c>
      <c r="M45">
        <f t="shared" si="1"/>
        <v>4.7791637607225796</v>
      </c>
      <c r="N45">
        <f t="shared" si="2"/>
        <v>-6.2220085277420623E-2</v>
      </c>
      <c r="O45">
        <f t="shared" si="3"/>
        <v>3.8713390119294944E-3</v>
      </c>
      <c r="Q45" s="2"/>
    </row>
    <row r="46" spans="1:19">
      <c r="A46">
        <v>45</v>
      </c>
      <c r="B46" t="s">
        <v>442</v>
      </c>
      <c r="C46">
        <v>4.683757097</v>
      </c>
      <c r="E46">
        <f t="shared" ca="1" si="4"/>
        <v>0.88876555840579896</v>
      </c>
      <c r="F46">
        <f t="shared" ca="1" si="7"/>
        <v>1.4348231174903219E-3</v>
      </c>
      <c r="I46" s="2">
        <f t="shared" ca="1" si="5"/>
        <v>5.4572674097718162E-2</v>
      </c>
      <c r="J46">
        <f t="shared" ca="1" si="0"/>
        <v>5.4572674097718163</v>
      </c>
      <c r="L46" s="2">
        <f t="shared" si="6"/>
        <v>4.7364926557161284E-2</v>
      </c>
      <c r="M46">
        <f t="shared" si="1"/>
        <v>4.7364926557161287</v>
      </c>
      <c r="N46">
        <f t="shared" si="2"/>
        <v>5.2735558716128672E-2</v>
      </c>
      <c r="O46">
        <f t="shared" si="3"/>
        <v>2.7810391531022547E-3</v>
      </c>
      <c r="Q46" s="2"/>
    </row>
    <row r="47" spans="1:19">
      <c r="A47">
        <v>46</v>
      </c>
      <c r="B47" s="1">
        <v>35196</v>
      </c>
      <c r="C47">
        <v>4.6366128010000001</v>
      </c>
      <c r="E47">
        <f t="shared" ca="1" si="4"/>
        <v>1.4726463269079044</v>
      </c>
      <c r="F47">
        <f t="shared" ca="1" si="7"/>
        <v>2.3774402301601208E-3</v>
      </c>
      <c r="I47" s="2">
        <f t="shared" ca="1" si="5"/>
        <v>5.6458468615286229E-2</v>
      </c>
      <c r="J47">
        <f t="shared" ca="1" si="0"/>
        <v>5.6458468615286233</v>
      </c>
      <c r="L47" s="2">
        <f t="shared" si="6"/>
        <v>4.6938215507096766E-2</v>
      </c>
      <c r="M47">
        <f t="shared" si="1"/>
        <v>4.6938215507096768</v>
      </c>
      <c r="N47">
        <f t="shared" si="2"/>
        <v>5.7208749709676709E-2</v>
      </c>
      <c r="O47">
        <f t="shared" si="3"/>
        <v>3.2728410433444351E-3</v>
      </c>
      <c r="Q47" s="2"/>
      <c r="S47" s="1"/>
    </row>
    <row r="48" spans="1:19">
      <c r="A48">
        <v>47</v>
      </c>
      <c r="B48" s="1">
        <v>35410</v>
      </c>
      <c r="C48">
        <v>4.479150551</v>
      </c>
      <c r="E48">
        <f t="shared" ca="1" si="4"/>
        <v>-1.4643684880394616</v>
      </c>
      <c r="F48">
        <f t="shared" ca="1" si="7"/>
        <v>-2.3640764870909068E-3</v>
      </c>
      <c r="I48" s="2">
        <f t="shared" ca="1" si="5"/>
        <v>5.3581133322601809E-2</v>
      </c>
      <c r="J48">
        <f t="shared" ca="1" si="0"/>
        <v>5.3581133322601806</v>
      </c>
      <c r="L48" s="2">
        <f t="shared" si="6"/>
        <v>4.6511504457032254E-2</v>
      </c>
      <c r="M48">
        <f t="shared" si="1"/>
        <v>4.6511504457032258</v>
      </c>
      <c r="N48">
        <f t="shared" si="2"/>
        <v>0.17199989470322574</v>
      </c>
      <c r="O48">
        <f t="shared" si="3"/>
        <v>2.9583963777920743E-2</v>
      </c>
      <c r="Q48" s="2"/>
      <c r="S48" s="1"/>
    </row>
    <row r="49" spans="1:19">
      <c r="A49">
        <v>48</v>
      </c>
      <c r="B49" t="s">
        <v>443</v>
      </c>
      <c r="C49">
        <v>4.2431910369999999</v>
      </c>
      <c r="E49">
        <f t="shared" ca="1" si="4"/>
        <v>-0.62724329193639683</v>
      </c>
      <c r="F49">
        <f t="shared" ca="1" si="7"/>
        <v>-1.0126215705021191E-3</v>
      </c>
      <c r="I49" s="2">
        <f t="shared" ca="1" si="5"/>
        <v>5.2076941721617108E-2</v>
      </c>
      <c r="J49">
        <f t="shared" ca="1" si="0"/>
        <v>5.2076941721617107</v>
      </c>
      <c r="L49" s="2">
        <f t="shared" si="6"/>
        <v>4.6084793406967743E-2</v>
      </c>
      <c r="M49">
        <f t="shared" si="1"/>
        <v>4.6084793406967739</v>
      </c>
      <c r="N49">
        <f t="shared" si="2"/>
        <v>0.36528830369677401</v>
      </c>
      <c r="O49">
        <f t="shared" si="3"/>
        <v>0.13343554481766659</v>
      </c>
      <c r="Q49" s="2"/>
    </row>
    <row r="50" spans="1:19">
      <c r="A50">
        <v>49</v>
      </c>
      <c r="B50" t="s">
        <v>444</v>
      </c>
      <c r="C50">
        <v>4.2897776319999998</v>
      </c>
      <c r="E50">
        <f t="shared" ca="1" si="4"/>
        <v>-0.10462900505314435</v>
      </c>
      <c r="F50">
        <f t="shared" ca="1" si="7"/>
        <v>-1.6891306575779624E-4</v>
      </c>
      <c r="I50" s="2">
        <f t="shared" ca="1" si="5"/>
        <v>5.142583475102952E-2</v>
      </c>
      <c r="J50">
        <f t="shared" ca="1" si="0"/>
        <v>5.1425834751029518</v>
      </c>
      <c r="L50" s="2">
        <f t="shared" si="6"/>
        <v>4.5658082356903225E-2</v>
      </c>
      <c r="M50">
        <f t="shared" si="1"/>
        <v>4.5658082356903229</v>
      </c>
      <c r="N50">
        <f t="shared" si="2"/>
        <v>0.27603060369032306</v>
      </c>
      <c r="O50">
        <f t="shared" si="3"/>
        <v>7.6192894173644193E-2</v>
      </c>
      <c r="Q50" s="2"/>
    </row>
    <row r="51" spans="1:19">
      <c r="A51">
        <v>50</v>
      </c>
      <c r="B51" s="1">
        <v>35136</v>
      </c>
      <c r="C51">
        <v>4.3210860340000004</v>
      </c>
      <c r="E51">
        <f t="shared" ca="1" si="4"/>
        <v>-1.420867427456757</v>
      </c>
      <c r="F51">
        <f t="shared" ca="1" si="7"/>
        <v>-2.2938483748861883E-3</v>
      </c>
      <c r="I51" s="2">
        <f t="shared" ca="1" si="5"/>
        <v>4.8651371098096328E-2</v>
      </c>
      <c r="J51">
        <f t="shared" ca="1" si="0"/>
        <v>4.8651371098096332</v>
      </c>
      <c r="L51" s="2">
        <f t="shared" si="6"/>
        <v>4.5231371306838707E-2</v>
      </c>
      <c r="M51">
        <f t="shared" si="1"/>
        <v>4.523137130683871</v>
      </c>
      <c r="N51">
        <f t="shared" si="2"/>
        <v>0.20205109668387067</v>
      </c>
      <c r="O51">
        <f t="shared" si="3"/>
        <v>4.0824645671154854E-2</v>
      </c>
      <c r="Q51" s="2"/>
      <c r="S51" s="1"/>
    </row>
    <row r="52" spans="1:19">
      <c r="A52">
        <v>51</v>
      </c>
      <c r="B52" s="1">
        <v>35350</v>
      </c>
      <c r="C52">
        <v>4.3840086730000003</v>
      </c>
      <c r="E52">
        <f t="shared" ca="1" si="4"/>
        <v>-0.4105248379182963</v>
      </c>
      <c r="F52">
        <f t="shared" ca="1" si="7"/>
        <v>-6.627512983352976E-4</v>
      </c>
      <c r="I52" s="2">
        <f t="shared" ca="1" si="5"/>
        <v>4.7529644600722384E-2</v>
      </c>
      <c r="J52">
        <f t="shared" ca="1" si="0"/>
        <v>4.7529644600722385</v>
      </c>
      <c r="L52" s="2">
        <f t="shared" si="6"/>
        <v>4.4804660256774188E-2</v>
      </c>
      <c r="M52">
        <f t="shared" si="1"/>
        <v>4.4804660256774191</v>
      </c>
      <c r="N52">
        <f t="shared" si="2"/>
        <v>9.6457352677418839E-2</v>
      </c>
      <c r="O52">
        <f t="shared" si="3"/>
        <v>9.3040208855359602E-3</v>
      </c>
      <c r="Q52" s="2"/>
      <c r="S52" s="1"/>
    </row>
    <row r="53" spans="1:19">
      <c r="A53">
        <v>52</v>
      </c>
      <c r="B53" t="s">
        <v>445</v>
      </c>
      <c r="C53">
        <v>4.0533691169999999</v>
      </c>
      <c r="E53">
        <f t="shared" ca="1" si="4"/>
        <v>-1.8380604252296675</v>
      </c>
      <c r="F53">
        <f t="shared" ca="1" si="7"/>
        <v>-2.9673647504907751E-3</v>
      </c>
      <c r="I53" s="2">
        <f t="shared" ca="1" si="5"/>
        <v>4.4109616568319972E-2</v>
      </c>
      <c r="J53">
        <f t="shared" ca="1" si="0"/>
        <v>4.4109616568319971</v>
      </c>
      <c r="L53" s="2">
        <f t="shared" si="6"/>
        <v>4.4377949206709677E-2</v>
      </c>
      <c r="M53">
        <f t="shared" si="1"/>
        <v>4.4377949206709673</v>
      </c>
      <c r="N53">
        <f t="shared" si="2"/>
        <v>0.38442580367096735</v>
      </c>
      <c r="O53">
        <f t="shared" si="3"/>
        <v>0.14778319852806912</v>
      </c>
      <c r="Q53" s="2"/>
    </row>
    <row r="54" spans="1:19">
      <c r="A54">
        <v>53</v>
      </c>
      <c r="B54" t="s">
        <v>446</v>
      </c>
      <c r="C54">
        <v>4.384527125</v>
      </c>
      <c r="E54">
        <f t="shared" ca="1" si="4"/>
        <v>1.6445983334191792</v>
      </c>
      <c r="F54">
        <f t="shared" ca="1" si="7"/>
        <v>2.6550395494719229E-3</v>
      </c>
      <c r="I54" s="2">
        <f t="shared" ca="1" si="5"/>
        <v>4.6340525189250359E-2</v>
      </c>
      <c r="J54">
        <f t="shared" ca="1" si="0"/>
        <v>4.6340525189250359</v>
      </c>
      <c r="L54" s="2">
        <f t="shared" si="6"/>
        <v>4.3951238156645166E-2</v>
      </c>
      <c r="M54">
        <f t="shared" si="1"/>
        <v>4.3951238156645163</v>
      </c>
      <c r="N54">
        <f t="shared" si="2"/>
        <v>1.0596690664516295E-2</v>
      </c>
      <c r="O54">
        <f t="shared" si="3"/>
        <v>1.122898530394468E-4</v>
      </c>
      <c r="Q54" s="2"/>
    </row>
    <row r="55" spans="1:19">
      <c r="A55">
        <v>54</v>
      </c>
      <c r="B55" t="s">
        <v>447</v>
      </c>
      <c r="C55">
        <v>4.4319398379999999</v>
      </c>
      <c r="E55">
        <f t="shared" ca="1" si="4"/>
        <v>0.59243360595938577</v>
      </c>
      <c r="F55">
        <f t="shared" ca="1" si="7"/>
        <v>9.5642481346083243E-4</v>
      </c>
      <c r="I55" s="2">
        <f t="shared" ca="1" si="5"/>
        <v>4.6847041991165073E-2</v>
      </c>
      <c r="J55">
        <f t="shared" ca="1" si="0"/>
        <v>4.6847041991165073</v>
      </c>
      <c r="L55" s="2">
        <f t="shared" si="6"/>
        <v>4.3524527106580647E-2</v>
      </c>
      <c r="M55">
        <f t="shared" si="1"/>
        <v>4.3524527106580644</v>
      </c>
      <c r="N55">
        <f t="shared" si="2"/>
        <v>-7.9487127341935526E-2</v>
      </c>
      <c r="O55">
        <f t="shared" si="3"/>
        <v>6.3182034130730745E-3</v>
      </c>
      <c r="Q55" s="2"/>
    </row>
    <row r="56" spans="1:19">
      <c r="A56">
        <v>55</v>
      </c>
      <c r="B56" s="1">
        <v>35612</v>
      </c>
      <c r="C56">
        <v>4.6367963830000001</v>
      </c>
      <c r="E56">
        <f t="shared" ca="1" si="4"/>
        <v>-1.6643882986721068</v>
      </c>
      <c r="F56">
        <f t="shared" ca="1" si="7"/>
        <v>-2.6869884693762492E-3</v>
      </c>
      <c r="I56" s="2">
        <f t="shared" ca="1" si="5"/>
        <v>4.370076879638525E-2</v>
      </c>
      <c r="J56">
        <f t="shared" ca="1" si="0"/>
        <v>4.3700768796385248</v>
      </c>
      <c r="L56" s="2">
        <f t="shared" si="6"/>
        <v>4.3097816056516136E-2</v>
      </c>
      <c r="M56">
        <f t="shared" si="1"/>
        <v>4.3097816056516134</v>
      </c>
      <c r="N56">
        <f t="shared" si="2"/>
        <v>-0.32701477734838669</v>
      </c>
      <c r="O56">
        <f t="shared" si="3"/>
        <v>0.10693866460421492</v>
      </c>
      <c r="Q56" s="2"/>
      <c r="S56" s="1"/>
    </row>
    <row r="57" spans="1:19">
      <c r="A57">
        <v>56</v>
      </c>
      <c r="B57" t="s">
        <v>448</v>
      </c>
      <c r="C57">
        <v>4.2425775059999999</v>
      </c>
      <c r="E57">
        <f t="shared" ca="1" si="4"/>
        <v>0.2881196859114501</v>
      </c>
      <c r="F57">
        <f t="shared" ca="1" si="7"/>
        <v>4.6514042093544504E-4</v>
      </c>
      <c r="I57" s="2">
        <f t="shared" ca="1" si="5"/>
        <v>4.3733228338148564E-2</v>
      </c>
      <c r="J57">
        <f t="shared" ca="1" si="0"/>
        <v>4.3733228338148562</v>
      </c>
      <c r="L57" s="2">
        <f t="shared" si="6"/>
        <v>4.2671105006451618E-2</v>
      </c>
      <c r="M57">
        <f t="shared" si="1"/>
        <v>4.2671105006451615</v>
      </c>
      <c r="N57">
        <f t="shared" si="2"/>
        <v>2.4532994645161565E-2</v>
      </c>
      <c r="O57">
        <f t="shared" si="3"/>
        <v>6.0186782625952604E-4</v>
      </c>
      <c r="Q57" s="2"/>
    </row>
    <row r="58" spans="1:19">
      <c r="A58">
        <v>57</v>
      </c>
      <c r="B58" t="s">
        <v>449</v>
      </c>
      <c r="C58">
        <v>4.1958068739999899</v>
      </c>
      <c r="E58">
        <f t="shared" ca="1" si="4"/>
        <v>1.5049605214717601</v>
      </c>
      <c r="F58">
        <f t="shared" ca="1" si="7"/>
        <v>2.4296082658640094E-3</v>
      </c>
      <c r="I58" s="2">
        <f t="shared" ca="1" si="5"/>
        <v>4.5725504320631091E-2</v>
      </c>
      <c r="J58">
        <f t="shared" ca="1" si="0"/>
        <v>4.5725504320631094</v>
      </c>
      <c r="L58" s="2">
        <f t="shared" si="6"/>
        <v>4.22443939563871E-2</v>
      </c>
      <c r="M58">
        <f t="shared" si="1"/>
        <v>4.2244393956387096</v>
      </c>
      <c r="N58">
        <f t="shared" si="2"/>
        <v>2.8632521638719766E-2</v>
      </c>
      <c r="O58">
        <f t="shared" si="3"/>
        <v>8.1982129539175564E-4</v>
      </c>
      <c r="Q58" s="2"/>
    </row>
    <row r="59" spans="1:19">
      <c r="A59">
        <v>58</v>
      </c>
      <c r="B59" t="s">
        <v>450</v>
      </c>
      <c r="C59">
        <v>4.4634329580000003</v>
      </c>
      <c r="E59">
        <f t="shared" ca="1" si="4"/>
        <v>1.0230497003019246E-2</v>
      </c>
      <c r="F59">
        <f t="shared" ca="1" si="7"/>
        <v>1.651611436167427E-5</v>
      </c>
      <c r="I59" s="2">
        <f t="shared" ca="1" si="5"/>
        <v>4.528014665397629E-2</v>
      </c>
      <c r="J59">
        <f t="shared" ca="1" si="0"/>
        <v>4.5280146653976292</v>
      </c>
      <c r="L59" s="2">
        <f t="shared" si="6"/>
        <v>4.1817682906322588E-2</v>
      </c>
      <c r="M59">
        <f t="shared" si="1"/>
        <v>4.1817682906322586</v>
      </c>
      <c r="N59">
        <f t="shared" si="2"/>
        <v>-0.28166466736774165</v>
      </c>
      <c r="O59">
        <f t="shared" si="3"/>
        <v>7.9334984843380543E-2</v>
      </c>
      <c r="Q59" s="2"/>
    </row>
    <row r="60" spans="1:19">
      <c r="A60">
        <v>59</v>
      </c>
      <c r="B60" s="1">
        <v>35522</v>
      </c>
      <c r="C60">
        <v>4.3908152410000003</v>
      </c>
      <c r="E60">
        <f t="shared" ca="1" si="4"/>
        <v>0.84304431877831743</v>
      </c>
      <c r="F60">
        <f t="shared" ca="1" si="7"/>
        <v>1.3610107482357157E-3</v>
      </c>
      <c r="I60" s="2">
        <f t="shared" ca="1" si="5"/>
        <v>4.6179115089416328E-2</v>
      </c>
      <c r="J60">
        <f t="shared" ca="1" si="0"/>
        <v>4.6179115089416332</v>
      </c>
      <c r="L60" s="2">
        <f t="shared" si="6"/>
        <v>4.139097185625807E-2</v>
      </c>
      <c r="M60">
        <f t="shared" si="1"/>
        <v>4.1390971856258068</v>
      </c>
      <c r="N60">
        <f t="shared" si="2"/>
        <v>-0.25171805537419356</v>
      </c>
      <c r="O60">
        <f t="shared" si="3"/>
        <v>6.3361979401365578E-2</v>
      </c>
      <c r="Q60" s="2"/>
      <c r="S60" s="1"/>
    </row>
    <row r="61" spans="1:19">
      <c r="A61">
        <v>60</v>
      </c>
      <c r="B61" s="1">
        <v>35736</v>
      </c>
      <c r="C61">
        <v>4.2746010160000001</v>
      </c>
      <c r="E61">
        <f t="shared" ca="1" si="4"/>
        <v>1.9908808176850572</v>
      </c>
      <c r="F61">
        <f t="shared" ca="1" si="7"/>
        <v>3.2140779920707564E-3</v>
      </c>
      <c r="I61" s="2">
        <f t="shared" ca="1" si="5"/>
        <v>4.89171197300498E-2</v>
      </c>
      <c r="J61">
        <f t="shared" ca="1" si="0"/>
        <v>4.8917119730049796</v>
      </c>
      <c r="L61" s="2">
        <f t="shared" si="6"/>
        <v>4.0964260806193559E-2</v>
      </c>
      <c r="M61">
        <f t="shared" si="1"/>
        <v>4.0964260806193558</v>
      </c>
      <c r="N61">
        <f t="shared" si="2"/>
        <v>-0.17817493538064433</v>
      </c>
      <c r="O61">
        <f t="shared" si="3"/>
        <v>3.1746307597896782E-2</v>
      </c>
      <c r="Q61" s="2"/>
      <c r="S61" s="1"/>
    </row>
    <row r="62" spans="1:19">
      <c r="A62">
        <v>61</v>
      </c>
      <c r="B62" t="s">
        <v>451</v>
      </c>
      <c r="C62">
        <v>4.1435066110000003</v>
      </c>
      <c r="E62">
        <f t="shared" ca="1" si="4"/>
        <v>-0.29454503880333904</v>
      </c>
      <c r="F62">
        <f t="shared" ca="1" si="7"/>
        <v>-4.7551351064411055E-4</v>
      </c>
      <c r="I62" s="2">
        <f t="shared" ca="1" si="5"/>
        <v>4.7932052888884344E-2</v>
      </c>
      <c r="J62">
        <f t="shared" ca="1" si="0"/>
        <v>4.7932052888884344</v>
      </c>
      <c r="L62" s="2">
        <f t="shared" si="6"/>
        <v>4.0537549756129047E-2</v>
      </c>
      <c r="M62">
        <f t="shared" si="1"/>
        <v>4.0537549756129048</v>
      </c>
      <c r="N62">
        <f t="shared" si="2"/>
        <v>-8.9751635387095519E-2</v>
      </c>
      <c r="O62">
        <f t="shared" si="3"/>
        <v>8.055356054658137E-3</v>
      </c>
      <c r="Q62" s="2"/>
    </row>
    <row r="63" spans="1:19">
      <c r="A63">
        <v>62</v>
      </c>
      <c r="B63" t="s">
        <v>452</v>
      </c>
      <c r="C63">
        <v>4.1888153399999899</v>
      </c>
      <c r="E63">
        <f t="shared" ca="1" si="4"/>
        <v>0.12079932483424227</v>
      </c>
      <c r="F63">
        <f t="shared" ca="1" si="7"/>
        <v>1.9501843001240072E-4</v>
      </c>
      <c r="I63" s="2">
        <f t="shared" ca="1" si="5"/>
        <v>4.7622523393750588E-2</v>
      </c>
      <c r="J63">
        <f t="shared" ca="1" si="0"/>
        <v>4.7622523393750589</v>
      </c>
      <c r="L63" s="2">
        <f t="shared" si="6"/>
        <v>4.0110838706064529E-2</v>
      </c>
      <c r="M63">
        <f t="shared" si="1"/>
        <v>4.0110838706064529</v>
      </c>
      <c r="N63">
        <f t="shared" si="2"/>
        <v>-0.17773146939353701</v>
      </c>
      <c r="O63">
        <f t="shared" si="3"/>
        <v>3.1588475212785787E-2</v>
      </c>
      <c r="Q63" s="2"/>
    </row>
    <row r="64" spans="1:19">
      <c r="A64">
        <v>63</v>
      </c>
      <c r="B64" s="1">
        <v>35523</v>
      </c>
      <c r="C64">
        <v>4.1434722529999899</v>
      </c>
      <c r="E64">
        <f t="shared" ca="1" si="4"/>
        <v>-0.51082873045628086</v>
      </c>
      <c r="F64">
        <f t="shared" ca="1" si="7"/>
        <v>-8.2468190244861981E-4</v>
      </c>
      <c r="I64" s="2">
        <f t="shared" ca="1" si="5"/>
        <v>4.6291218902006756E-2</v>
      </c>
      <c r="J64">
        <f t="shared" ca="1" si="0"/>
        <v>4.6291218902006754</v>
      </c>
      <c r="L64" s="2">
        <f t="shared" si="6"/>
        <v>3.9684127656000018E-2</v>
      </c>
      <c r="M64">
        <f t="shared" si="1"/>
        <v>3.9684127656000019</v>
      </c>
      <c r="N64">
        <f t="shared" si="2"/>
        <v>-0.175059487399988</v>
      </c>
      <c r="O64">
        <f t="shared" si="3"/>
        <v>3.0645824128746557E-2</v>
      </c>
      <c r="Q64" s="2"/>
      <c r="S64" s="1"/>
    </row>
    <row r="65" spans="1:19">
      <c r="A65">
        <v>64</v>
      </c>
      <c r="B65" s="1">
        <v>35737</v>
      </c>
      <c r="C65">
        <v>4.2696348759999898</v>
      </c>
      <c r="E65">
        <f t="shared" ca="1" si="4"/>
        <v>-0.6445462512389768</v>
      </c>
      <c r="F65">
        <f t="shared" ca="1" si="7"/>
        <v>-1.0405554680002042E-3</v>
      </c>
      <c r="I65" s="2">
        <f t="shared" ca="1" si="5"/>
        <v>4.4752908392049491E-2</v>
      </c>
      <c r="J65">
        <f t="shared" ca="1" si="0"/>
        <v>4.4752908392049493</v>
      </c>
      <c r="L65" s="2">
        <f t="shared" si="6"/>
        <v>3.92574166059355E-2</v>
      </c>
      <c r="M65">
        <f t="shared" si="1"/>
        <v>3.92574166059355</v>
      </c>
      <c r="N65">
        <f t="shared" si="2"/>
        <v>-0.3438932154064398</v>
      </c>
      <c r="O65">
        <f t="shared" si="3"/>
        <v>0.11826254360258001</v>
      </c>
      <c r="Q65" s="2"/>
      <c r="S65" s="1"/>
    </row>
    <row r="66" spans="1:19">
      <c r="A66">
        <v>65</v>
      </c>
      <c r="B66" t="s">
        <v>453</v>
      </c>
      <c r="C66">
        <v>4.0827725299999997</v>
      </c>
      <c r="E66">
        <f t="shared" ca="1" si="4"/>
        <v>-1.2231431057190996</v>
      </c>
      <c r="F66">
        <f t="shared" ca="1" si="7"/>
        <v>-1.9746422298729145E-3</v>
      </c>
      <c r="I66" s="2">
        <f t="shared" ca="1" si="5"/>
        <v>4.2291821505741248E-2</v>
      </c>
      <c r="J66">
        <f t="shared" ca="1" si="0"/>
        <v>4.2291821505741245</v>
      </c>
      <c r="L66" s="2">
        <f t="shared" si="6"/>
        <v>3.8830705555870981E-2</v>
      </c>
      <c r="M66">
        <f t="shared" si="1"/>
        <v>3.8830705555870981</v>
      </c>
      <c r="N66">
        <f t="shared" si="2"/>
        <v>-0.19970197441290161</v>
      </c>
      <c r="O66">
        <f t="shared" si="3"/>
        <v>3.9880878584411208E-2</v>
      </c>
      <c r="Q66" s="2"/>
    </row>
    <row r="67" spans="1:19">
      <c r="A67">
        <v>66</v>
      </c>
      <c r="B67" t="s">
        <v>454</v>
      </c>
      <c r="C67">
        <v>4.1638261400000003</v>
      </c>
      <c r="E67">
        <f t="shared" ca="1" si="4"/>
        <v>1.2798441475467071</v>
      </c>
      <c r="F67">
        <f t="shared" ca="1" si="7"/>
        <v>2.066180391799404E-3</v>
      </c>
      <c r="I67" s="2">
        <f t="shared" ca="1" si="5"/>
        <v>4.3893256606268777E-2</v>
      </c>
      <c r="J67">
        <f t="shared" ref="J67:J130" ca="1" si="8">I67*100</f>
        <v>4.389325660626878</v>
      </c>
      <c r="L67" s="2">
        <f t="shared" si="6"/>
        <v>3.840399450580647E-2</v>
      </c>
      <c r="M67">
        <f t="shared" ref="M67:M130" si="9">L67*100</f>
        <v>3.8403994505806471</v>
      </c>
      <c r="N67">
        <f t="shared" ref="N67:N130" si="10">M67-C67</f>
        <v>-0.32342668941935315</v>
      </c>
      <c r="O67">
        <f t="shared" ref="O67:O130" si="11">N67^2</f>
        <v>0.10460482342876272</v>
      </c>
      <c r="Q67" s="2"/>
    </row>
    <row r="68" spans="1:19">
      <c r="A68">
        <v>67</v>
      </c>
      <c r="B68" s="1">
        <v>35434</v>
      </c>
      <c r="C68">
        <v>4.0063704649999998</v>
      </c>
      <c r="E68">
        <f t="shared" ref="E68:E131" ca="1" si="12">NORMSINV(RAND())</f>
        <v>-4.5567956826813735E-2</v>
      </c>
      <c r="F68">
        <f t="shared" ca="1" si="7"/>
        <v>-7.35649095012081E-5</v>
      </c>
      <c r="I68" s="2">
        <f t="shared" ref="I68:I131" ca="1" si="13">$H$2*(1-1/(157-A68))*I67+F68</f>
        <v>4.3331988845586804E-2</v>
      </c>
      <c r="J68">
        <f t="shared" ca="1" si="8"/>
        <v>4.33319888455868</v>
      </c>
      <c r="L68" s="2">
        <f t="shared" ref="L68:L131" si="14">$H$2*(1-1/(157-A68))*L67</f>
        <v>3.7977283455741952E-2</v>
      </c>
      <c r="M68">
        <f t="shared" si="9"/>
        <v>3.7977283455741953</v>
      </c>
      <c r="N68">
        <f t="shared" si="10"/>
        <v>-0.20864211942580457</v>
      </c>
      <c r="O68">
        <f t="shared" si="11"/>
        <v>4.3531533998491696E-2</v>
      </c>
      <c r="Q68" s="2"/>
      <c r="S68" s="1"/>
    </row>
    <row r="69" spans="1:19">
      <c r="A69">
        <v>68</v>
      </c>
      <c r="B69" s="1">
        <v>35646</v>
      </c>
      <c r="C69">
        <v>3.8960589080000001</v>
      </c>
      <c r="E69">
        <f t="shared" ca="1" si="12"/>
        <v>-2.3740350703494428</v>
      </c>
      <c r="F69">
        <f t="shared" ref="F69:F132" ca="1" si="15">$E$1*E69</f>
        <v>-3.8326422175721407E-3</v>
      </c>
      <c r="I69" s="2">
        <f t="shared" ca="1" si="13"/>
        <v>3.9012470348850768E-2</v>
      </c>
      <c r="J69">
        <f t="shared" ca="1" si="8"/>
        <v>3.9012470348850767</v>
      </c>
      <c r="L69" s="2">
        <f t="shared" si="14"/>
        <v>3.7550572405677433E-2</v>
      </c>
      <c r="M69">
        <f t="shared" si="9"/>
        <v>3.7550572405677434</v>
      </c>
      <c r="N69">
        <f t="shared" si="10"/>
        <v>-0.14100166743225673</v>
      </c>
      <c r="O69">
        <f t="shared" si="11"/>
        <v>1.9881470218676728E-2</v>
      </c>
      <c r="Q69" s="2"/>
      <c r="S69" s="1"/>
    </row>
    <row r="70" spans="1:19">
      <c r="A70">
        <v>69</v>
      </c>
      <c r="B70" t="s">
        <v>455</v>
      </c>
      <c r="C70">
        <v>3.659936466</v>
      </c>
      <c r="E70">
        <f t="shared" ca="1" si="12"/>
        <v>1.5163174915594335</v>
      </c>
      <c r="F70">
        <f t="shared" ca="1" si="15"/>
        <v>2.4479429583735496E-3</v>
      </c>
      <c r="I70" s="2">
        <f t="shared" ca="1" si="13"/>
        <v>4.1017089780532832E-2</v>
      </c>
      <c r="J70">
        <f t="shared" ca="1" si="8"/>
        <v>4.1017089780532832</v>
      </c>
      <c r="L70" s="2">
        <f t="shared" si="14"/>
        <v>3.7123861355612915E-2</v>
      </c>
      <c r="M70">
        <f t="shared" si="9"/>
        <v>3.7123861355612915</v>
      </c>
      <c r="N70">
        <f t="shared" si="10"/>
        <v>5.244966956129149E-2</v>
      </c>
      <c r="O70">
        <f t="shared" si="11"/>
        <v>2.750967837088667E-3</v>
      </c>
      <c r="Q70" s="2"/>
    </row>
    <row r="71" spans="1:19">
      <c r="A71">
        <v>70</v>
      </c>
      <c r="B71" t="s">
        <v>456</v>
      </c>
      <c r="C71">
        <v>3.9436372999999998</v>
      </c>
      <c r="E71">
        <f t="shared" ca="1" si="12"/>
        <v>-0.18242286514752165</v>
      </c>
      <c r="F71">
        <f t="shared" ca="1" si="15"/>
        <v>-2.9450347349415897E-4</v>
      </c>
      <c r="I71" s="2">
        <f t="shared" ca="1" si="13"/>
        <v>4.0251125504963584E-2</v>
      </c>
      <c r="J71">
        <f t="shared" ca="1" si="8"/>
        <v>4.0251125504963587</v>
      </c>
      <c r="L71" s="2">
        <f t="shared" si="14"/>
        <v>3.6697150305548397E-2</v>
      </c>
      <c r="M71">
        <f t="shared" si="9"/>
        <v>3.6697150305548396</v>
      </c>
      <c r="N71">
        <f t="shared" si="10"/>
        <v>-0.27392226944516018</v>
      </c>
      <c r="O71">
        <f t="shared" si="11"/>
        <v>7.5033409697986941E-2</v>
      </c>
      <c r="Q71" s="2"/>
    </row>
    <row r="72" spans="1:19">
      <c r="A72">
        <v>71</v>
      </c>
      <c r="B72" t="s">
        <v>457</v>
      </c>
      <c r="C72">
        <v>3.9437437200000001</v>
      </c>
      <c r="E72">
        <f t="shared" ca="1" si="12"/>
        <v>9.01874896999037E-2</v>
      </c>
      <c r="F72">
        <f t="shared" ca="1" si="15"/>
        <v>1.4559868337152453E-4</v>
      </c>
      <c r="I72" s="2">
        <f t="shared" ca="1" si="13"/>
        <v>3.9928687845254135E-2</v>
      </c>
      <c r="J72">
        <f t="shared" ca="1" si="8"/>
        <v>3.9928687845254136</v>
      </c>
      <c r="L72" s="2">
        <f t="shared" si="14"/>
        <v>3.6270439255483879E-2</v>
      </c>
      <c r="M72">
        <f t="shared" si="9"/>
        <v>3.6270439255483877</v>
      </c>
      <c r="N72">
        <f t="shared" si="10"/>
        <v>-0.31669979445161234</v>
      </c>
      <c r="O72">
        <f t="shared" si="11"/>
        <v>0.1002987598056935</v>
      </c>
      <c r="Q72" s="2"/>
    </row>
    <row r="73" spans="1:19">
      <c r="A73">
        <v>72</v>
      </c>
      <c r="B73" s="1">
        <v>35586</v>
      </c>
      <c r="C73">
        <v>3.9120908299999999</v>
      </c>
      <c r="E73">
        <f t="shared" ca="1" si="12"/>
        <v>-0.38653241291285845</v>
      </c>
      <c r="F73">
        <f t="shared" ca="1" si="15"/>
        <v>-6.240179274065187E-4</v>
      </c>
      <c r="I73" s="2">
        <f t="shared" ca="1" si="13"/>
        <v>3.8834920649079924E-2</v>
      </c>
      <c r="J73">
        <f t="shared" ca="1" si="8"/>
        <v>3.8834920649079923</v>
      </c>
      <c r="L73" s="2">
        <f t="shared" si="14"/>
        <v>3.5843728205419367E-2</v>
      </c>
      <c r="M73">
        <f t="shared" si="9"/>
        <v>3.5843728205419367</v>
      </c>
      <c r="N73">
        <f t="shared" si="10"/>
        <v>-0.32771800945806318</v>
      </c>
      <c r="O73">
        <f t="shared" si="11"/>
        <v>0.10739909372315519</v>
      </c>
      <c r="Q73" s="2"/>
      <c r="S73" s="1"/>
    </row>
    <row r="74" spans="1:19">
      <c r="A74">
        <v>73</v>
      </c>
      <c r="B74" t="s">
        <v>458</v>
      </c>
      <c r="C74">
        <v>3.6445459109999998</v>
      </c>
      <c r="E74">
        <f t="shared" ca="1" si="12"/>
        <v>0.1437225008274689</v>
      </c>
      <c r="F74">
        <f t="shared" ca="1" si="15"/>
        <v>2.3202560533586579E-4</v>
      </c>
      <c r="I74" s="2">
        <f t="shared" ca="1" si="13"/>
        <v>3.8604625770498176E-2</v>
      </c>
      <c r="J74">
        <f t="shared" ca="1" si="8"/>
        <v>3.8604625770498178</v>
      </c>
      <c r="L74" s="2">
        <f t="shared" si="14"/>
        <v>3.5417017155354856E-2</v>
      </c>
      <c r="M74">
        <f t="shared" si="9"/>
        <v>3.5417017155354857</v>
      </c>
      <c r="N74">
        <f t="shared" si="10"/>
        <v>-0.10284419546451407</v>
      </c>
      <c r="O74">
        <f t="shared" si="11"/>
        <v>1.0576928540743175E-2</v>
      </c>
      <c r="Q74" s="2"/>
    </row>
    <row r="75" spans="1:19">
      <c r="A75">
        <v>74</v>
      </c>
      <c r="B75" t="s">
        <v>459</v>
      </c>
      <c r="C75">
        <v>3.7392074169999998</v>
      </c>
      <c r="E75">
        <f t="shared" ca="1" si="12"/>
        <v>-1.3486667589329686</v>
      </c>
      <c r="F75">
        <f t="shared" ca="1" si="15"/>
        <v>-2.1772876156213846E-3</v>
      </c>
      <c r="I75" s="2">
        <f t="shared" ca="1" si="13"/>
        <v>3.5962222181738251E-2</v>
      </c>
      <c r="J75">
        <f t="shared" ca="1" si="8"/>
        <v>3.5962222181738253</v>
      </c>
      <c r="L75" s="2">
        <f t="shared" si="14"/>
        <v>3.4990306105290338E-2</v>
      </c>
      <c r="M75">
        <f t="shared" si="9"/>
        <v>3.4990306105290339</v>
      </c>
      <c r="N75">
        <f t="shared" si="10"/>
        <v>-0.24017680647096595</v>
      </c>
      <c r="O75">
        <f t="shared" si="11"/>
        <v>5.7684898366591832E-2</v>
      </c>
      <c r="Q75" s="2"/>
    </row>
    <row r="76" spans="1:19">
      <c r="A76">
        <v>75</v>
      </c>
      <c r="B76" t="s">
        <v>460</v>
      </c>
      <c r="C76">
        <v>3.8966217049999998</v>
      </c>
      <c r="E76">
        <f t="shared" ca="1" si="12"/>
        <v>0.99847999997312709</v>
      </c>
      <c r="F76">
        <f t="shared" ca="1" si="15"/>
        <v>1.6119461119566165E-3</v>
      </c>
      <c r="I76" s="2">
        <f t="shared" ca="1" si="13"/>
        <v>3.7135604608551719E-2</v>
      </c>
      <c r="J76">
        <f t="shared" ca="1" si="8"/>
        <v>3.713560460855172</v>
      </c>
      <c r="L76" s="2">
        <f t="shared" si="14"/>
        <v>3.4563595055225819E-2</v>
      </c>
      <c r="M76">
        <f t="shared" si="9"/>
        <v>3.456359505522582</v>
      </c>
      <c r="N76">
        <f t="shared" si="10"/>
        <v>-0.44026219947741785</v>
      </c>
      <c r="O76">
        <f t="shared" si="11"/>
        <v>0.19383080428869368</v>
      </c>
      <c r="Q76" s="2"/>
    </row>
    <row r="77" spans="1:19">
      <c r="A77">
        <v>76</v>
      </c>
      <c r="B77" s="1">
        <v>35495</v>
      </c>
      <c r="C77">
        <v>3.8965727330000002</v>
      </c>
      <c r="E77">
        <f t="shared" ca="1" si="12"/>
        <v>-6.5850794001008541E-3</v>
      </c>
      <c r="F77">
        <f t="shared" ca="1" si="15"/>
        <v>-1.0630952183522819E-5</v>
      </c>
      <c r="I77" s="2">
        <f t="shared" ca="1" si="13"/>
        <v>3.6666509401941626E-2</v>
      </c>
      <c r="J77">
        <f t="shared" ca="1" si="8"/>
        <v>3.6666509401941627</v>
      </c>
      <c r="L77" s="2">
        <f t="shared" si="14"/>
        <v>3.4136884005161301E-2</v>
      </c>
      <c r="M77">
        <f t="shared" si="9"/>
        <v>3.4136884005161301</v>
      </c>
      <c r="N77">
        <f t="shared" si="10"/>
        <v>-0.48288433248387008</v>
      </c>
      <c r="O77">
        <f t="shared" si="11"/>
        <v>0.23317727855839279</v>
      </c>
      <c r="Q77" s="2"/>
      <c r="S77" s="1"/>
    </row>
    <row r="78" spans="1:19">
      <c r="A78">
        <v>77</v>
      </c>
      <c r="B78" s="1">
        <v>35709</v>
      </c>
      <c r="C78">
        <v>3.8494471410000002</v>
      </c>
      <c r="E78">
        <f t="shared" ca="1" si="12"/>
        <v>0.51136515745690159</v>
      </c>
      <c r="F78">
        <f t="shared" ca="1" si="15"/>
        <v>8.2554791019842188E-4</v>
      </c>
      <c r="I78" s="2">
        <f t="shared" ca="1" si="13"/>
        <v>3.7033725944615778E-2</v>
      </c>
      <c r="J78">
        <f t="shared" ca="1" si="8"/>
        <v>3.7033725944615776</v>
      </c>
      <c r="L78" s="2">
        <f t="shared" si="14"/>
        <v>3.371017295509679E-2</v>
      </c>
      <c r="M78">
        <f t="shared" si="9"/>
        <v>3.3710172955096791</v>
      </c>
      <c r="N78">
        <f t="shared" si="10"/>
        <v>-0.47842984549032108</v>
      </c>
      <c r="O78">
        <f t="shared" si="11"/>
        <v>0.22889511705589249</v>
      </c>
      <c r="Q78" s="2"/>
      <c r="S78" s="1"/>
    </row>
    <row r="79" spans="1:19">
      <c r="A79">
        <v>78</v>
      </c>
      <c r="B79" t="s">
        <v>461</v>
      </c>
      <c r="C79">
        <v>3.8020173910000001</v>
      </c>
      <c r="E79">
        <f t="shared" ca="1" si="12"/>
        <v>0.27186746814007789</v>
      </c>
      <c r="F79">
        <f t="shared" ca="1" si="15"/>
        <v>4.3890284056534174E-4</v>
      </c>
      <c r="I79" s="2">
        <f t="shared" ca="1" si="13"/>
        <v>3.700384744411004E-2</v>
      </c>
      <c r="J79">
        <f t="shared" ca="1" si="8"/>
        <v>3.7003847444110041</v>
      </c>
      <c r="L79" s="2">
        <f t="shared" si="14"/>
        <v>3.3283461905032272E-2</v>
      </c>
      <c r="M79">
        <f t="shared" si="9"/>
        <v>3.3283461905032272</v>
      </c>
      <c r="N79">
        <f t="shared" si="10"/>
        <v>-0.47367120049677292</v>
      </c>
      <c r="O79">
        <f t="shared" si="11"/>
        <v>0.22436440618005404</v>
      </c>
      <c r="Q79" s="2"/>
    </row>
    <row r="80" spans="1:19">
      <c r="A80">
        <v>79</v>
      </c>
      <c r="B80" t="s">
        <v>462</v>
      </c>
      <c r="C80">
        <v>3.7705649600000002</v>
      </c>
      <c r="E80">
        <f t="shared" ca="1" si="12"/>
        <v>-0.19973497386959804</v>
      </c>
      <c r="F80">
        <f t="shared" ca="1" si="15"/>
        <v>-3.2245214181507908E-4</v>
      </c>
      <c r="I80" s="2">
        <f t="shared" ca="1" si="13"/>
        <v>3.6206987001729446E-2</v>
      </c>
      <c r="J80">
        <f t="shared" ca="1" si="8"/>
        <v>3.6206987001729445</v>
      </c>
      <c r="L80" s="2">
        <f t="shared" si="14"/>
        <v>3.285675085496776E-2</v>
      </c>
      <c r="M80">
        <f t="shared" si="9"/>
        <v>3.2856750854967762</v>
      </c>
      <c r="N80">
        <f t="shared" si="10"/>
        <v>-0.48488987450322396</v>
      </c>
      <c r="O80">
        <f t="shared" si="11"/>
        <v>0.23511819039575227</v>
      </c>
      <c r="Q80" s="2"/>
    </row>
    <row r="81" spans="1:19">
      <c r="A81">
        <v>80</v>
      </c>
      <c r="B81" s="1">
        <v>35437</v>
      </c>
      <c r="C81">
        <v>3.8492945719999998</v>
      </c>
      <c r="E81">
        <f t="shared" ca="1" si="12"/>
        <v>0.47776750482425534</v>
      </c>
      <c r="F81">
        <f t="shared" ca="1" si="15"/>
        <v>7.7130785978827784E-4</v>
      </c>
      <c r="I81" s="2">
        <f t="shared" ca="1" si="13"/>
        <v>3.6508074251105659E-2</v>
      </c>
      <c r="J81">
        <f t="shared" ca="1" si="8"/>
        <v>3.6508074251105658</v>
      </c>
      <c r="L81" s="2">
        <f t="shared" si="14"/>
        <v>3.2430039804903242E-2</v>
      </c>
      <c r="M81">
        <f t="shared" si="9"/>
        <v>3.2430039804903243</v>
      </c>
      <c r="N81">
        <f t="shared" si="10"/>
        <v>-0.60629059150967546</v>
      </c>
      <c r="O81">
        <f t="shared" si="11"/>
        <v>0.36758828135315214</v>
      </c>
      <c r="Q81" s="2"/>
      <c r="S81" s="1"/>
    </row>
    <row r="82" spans="1:19">
      <c r="A82">
        <v>81</v>
      </c>
      <c r="B82" s="1">
        <v>35649</v>
      </c>
      <c r="C82">
        <v>3.8492945719999998</v>
      </c>
      <c r="E82">
        <f t="shared" ca="1" si="12"/>
        <v>-0.48818848431657458</v>
      </c>
      <c r="F82">
        <f t="shared" ca="1" si="15"/>
        <v>-7.8813148908067794E-4</v>
      </c>
      <c r="I82" s="2">
        <f t="shared" ca="1" si="13"/>
        <v>3.5239573363984117E-2</v>
      </c>
      <c r="J82">
        <f t="shared" ca="1" si="8"/>
        <v>3.5239573363984116</v>
      </c>
      <c r="L82" s="2">
        <f t="shared" si="14"/>
        <v>3.2003328754838724E-2</v>
      </c>
      <c r="M82">
        <f t="shared" si="9"/>
        <v>3.2003328754838725</v>
      </c>
      <c r="N82">
        <f t="shared" si="10"/>
        <v>-0.64896169651612734</v>
      </c>
      <c r="O82">
        <f t="shared" si="11"/>
        <v>0.42115128354509018</v>
      </c>
      <c r="Q82" s="2"/>
      <c r="S82" s="1"/>
    </row>
    <row r="83" spans="1:19">
      <c r="A83">
        <v>82</v>
      </c>
      <c r="B83" t="s">
        <v>463</v>
      </c>
      <c r="C83">
        <v>3.8333681020000001</v>
      </c>
      <c r="E83">
        <f t="shared" ca="1" si="12"/>
        <v>0.69968259337082128</v>
      </c>
      <c r="F83">
        <f t="shared" ca="1" si="15"/>
        <v>1.1295675787378538E-3</v>
      </c>
      <c r="I83" s="2">
        <f t="shared" ca="1" si="13"/>
        <v>3.589927996453552E-2</v>
      </c>
      <c r="J83">
        <f t="shared" ca="1" si="8"/>
        <v>3.589927996453552</v>
      </c>
      <c r="L83" s="2">
        <f t="shared" si="14"/>
        <v>3.1576617704774206E-2</v>
      </c>
      <c r="M83">
        <f t="shared" si="9"/>
        <v>3.1576617704774206</v>
      </c>
      <c r="N83">
        <f t="shared" si="10"/>
        <v>-0.67570633152257953</v>
      </c>
      <c r="O83">
        <f t="shared" si="11"/>
        <v>0.45657904645970215</v>
      </c>
      <c r="Q83" s="2"/>
    </row>
    <row r="84" spans="1:19">
      <c r="A84">
        <v>83</v>
      </c>
      <c r="B84" t="s">
        <v>464</v>
      </c>
      <c r="C84">
        <v>3.8649179660000001</v>
      </c>
      <c r="E84">
        <f t="shared" ca="1" si="12"/>
        <v>-1.6829302175992558</v>
      </c>
      <c r="F84">
        <f t="shared" ca="1" si="15"/>
        <v>-2.7169225432922385E-3</v>
      </c>
      <c r="I84" s="2">
        <f t="shared" ca="1" si="13"/>
        <v>3.2697232016317121E-2</v>
      </c>
      <c r="J84">
        <f t="shared" ca="1" si="8"/>
        <v>3.2697232016317122</v>
      </c>
      <c r="L84" s="2">
        <f t="shared" si="14"/>
        <v>3.1149906654709691E-2</v>
      </c>
      <c r="M84">
        <f t="shared" si="9"/>
        <v>3.1149906654709691</v>
      </c>
      <c r="N84">
        <f t="shared" si="10"/>
        <v>-0.749927300529031</v>
      </c>
      <c r="O84">
        <f t="shared" si="11"/>
        <v>0.56239095607875955</v>
      </c>
      <c r="Q84" s="2"/>
    </row>
    <row r="85" spans="1:19">
      <c r="A85">
        <v>84</v>
      </c>
      <c r="B85" t="s">
        <v>465</v>
      </c>
      <c r="C85">
        <v>3.7390138309999998</v>
      </c>
      <c r="E85">
        <f t="shared" ca="1" si="12"/>
        <v>9.3986917324166391E-2</v>
      </c>
      <c r="F85">
        <f t="shared" ca="1" si="15"/>
        <v>1.5173247932813422E-4</v>
      </c>
      <c r="I85" s="2">
        <f t="shared" ca="1" si="13"/>
        <v>3.2401057207750501E-2</v>
      </c>
      <c r="J85">
        <f t="shared" ca="1" si="8"/>
        <v>3.2401057207750501</v>
      </c>
      <c r="L85" s="2">
        <f t="shared" si="14"/>
        <v>3.0723195604645172E-2</v>
      </c>
      <c r="M85">
        <f t="shared" si="9"/>
        <v>3.0723195604645173</v>
      </c>
      <c r="N85">
        <f t="shared" si="10"/>
        <v>-0.66669427053548258</v>
      </c>
      <c r="O85">
        <f t="shared" si="11"/>
        <v>0.44448125036483921</v>
      </c>
      <c r="Q85" s="2"/>
    </row>
    <row r="86" spans="1:19">
      <c r="A86">
        <v>85</v>
      </c>
      <c r="B86" s="1">
        <v>35558</v>
      </c>
      <c r="C86">
        <v>3.7546905540000002</v>
      </c>
      <c r="E86">
        <f t="shared" ca="1" si="12"/>
        <v>1.9784043290467039</v>
      </c>
      <c r="F86">
        <f t="shared" ca="1" si="15"/>
        <v>3.1939359488129988E-3</v>
      </c>
      <c r="I86" s="2">
        <f t="shared" ca="1" si="13"/>
        <v>3.5144978473122521E-2</v>
      </c>
      <c r="J86">
        <f t="shared" ca="1" si="8"/>
        <v>3.5144978473122519</v>
      </c>
      <c r="L86" s="2">
        <f t="shared" si="14"/>
        <v>3.0296484554580658E-2</v>
      </c>
      <c r="M86">
        <f t="shared" si="9"/>
        <v>3.0296484554580658</v>
      </c>
      <c r="N86">
        <f t="shared" si="10"/>
        <v>-0.72504209854193435</v>
      </c>
      <c r="O86">
        <f t="shared" si="11"/>
        <v>0.5256860446580921</v>
      </c>
      <c r="Q86" s="2"/>
      <c r="S86" s="1"/>
    </row>
    <row r="87" spans="1:19">
      <c r="A87">
        <v>86</v>
      </c>
      <c r="B87" s="1">
        <v>35772</v>
      </c>
      <c r="C87">
        <v>3.8965199130000001</v>
      </c>
      <c r="E87">
        <f t="shared" ca="1" si="12"/>
        <v>-1.7661329803225416</v>
      </c>
      <c r="F87">
        <f t="shared" ca="1" si="15"/>
        <v>-2.8512450834327113E-3</v>
      </c>
      <c r="I87" s="2">
        <f t="shared" ca="1" si="13"/>
        <v>3.1798733692885266E-2</v>
      </c>
      <c r="J87">
        <f t="shared" ca="1" si="8"/>
        <v>3.1798733692885266</v>
      </c>
      <c r="L87" s="2">
        <f t="shared" si="14"/>
        <v>2.9869773504516143E-2</v>
      </c>
      <c r="M87">
        <f t="shared" si="9"/>
        <v>2.9869773504516144</v>
      </c>
      <c r="N87">
        <f t="shared" si="10"/>
        <v>-0.90954256254838572</v>
      </c>
      <c r="O87">
        <f t="shared" si="11"/>
        <v>0.82726767308708415</v>
      </c>
      <c r="Q87" s="2"/>
      <c r="S87" s="1"/>
    </row>
    <row r="88" spans="1:19">
      <c r="A88">
        <v>87</v>
      </c>
      <c r="B88" t="s">
        <v>466</v>
      </c>
      <c r="C88">
        <v>3.7071633390000001</v>
      </c>
      <c r="E88">
        <f t="shared" ca="1" si="12"/>
        <v>0.99433545738506224</v>
      </c>
      <c r="F88">
        <f t="shared" ca="1" si="15"/>
        <v>1.6052551624024445E-3</v>
      </c>
      <c r="I88" s="2">
        <f t="shared" ca="1" si="13"/>
        <v>3.2949721231103637E-2</v>
      </c>
      <c r="J88">
        <f t="shared" ca="1" si="8"/>
        <v>3.2949721231103637</v>
      </c>
      <c r="L88" s="2">
        <f t="shared" si="14"/>
        <v>2.9443062454451628E-2</v>
      </c>
      <c r="M88">
        <f t="shared" si="9"/>
        <v>2.944306245445163</v>
      </c>
      <c r="N88">
        <f t="shared" si="10"/>
        <v>-0.76285709355483711</v>
      </c>
      <c r="O88">
        <f t="shared" si="11"/>
        <v>0.58195094518693347</v>
      </c>
      <c r="Q88" s="2"/>
    </row>
    <row r="89" spans="1:19">
      <c r="A89">
        <v>88</v>
      </c>
      <c r="B89" t="s">
        <v>467</v>
      </c>
      <c r="C89">
        <v>3.6126087280000001</v>
      </c>
      <c r="E89">
        <f t="shared" ca="1" si="12"/>
        <v>0.74572833036522868</v>
      </c>
      <c r="F89">
        <f t="shared" ca="1" si="15"/>
        <v>1.2039038165416252E-3</v>
      </c>
      <c r="I89" s="2">
        <f t="shared" ca="1" si="13"/>
        <v>3.3676092855890141E-2</v>
      </c>
      <c r="J89">
        <f t="shared" ca="1" si="8"/>
        <v>3.3676092855890141</v>
      </c>
      <c r="L89" s="2">
        <f t="shared" si="14"/>
        <v>2.9016351404387113E-2</v>
      </c>
      <c r="M89">
        <f t="shared" si="9"/>
        <v>2.9016351404387115</v>
      </c>
      <c r="N89">
        <f t="shared" si="10"/>
        <v>-0.71097358756128859</v>
      </c>
      <c r="O89">
        <f t="shared" si="11"/>
        <v>0.50548344220976926</v>
      </c>
      <c r="Q89" s="2"/>
    </row>
    <row r="90" spans="1:19">
      <c r="A90">
        <v>89</v>
      </c>
      <c r="B90" s="1">
        <v>35470</v>
      </c>
      <c r="C90">
        <v>3.7232381229999998</v>
      </c>
      <c r="E90">
        <f t="shared" ca="1" si="12"/>
        <v>0.38468839929464116</v>
      </c>
      <c r="F90">
        <f t="shared" ca="1" si="15"/>
        <v>6.2104095182126872E-4</v>
      </c>
      <c r="I90" s="2">
        <f t="shared" ca="1" si="13"/>
        <v>3.3801897148065974E-2</v>
      </c>
      <c r="J90">
        <f t="shared" ca="1" si="8"/>
        <v>3.3801897148065976</v>
      </c>
      <c r="L90" s="2">
        <f t="shared" si="14"/>
        <v>2.8589640354322599E-2</v>
      </c>
      <c r="M90">
        <f t="shared" si="9"/>
        <v>2.8589640354322601</v>
      </c>
      <c r="N90">
        <f t="shared" si="10"/>
        <v>-0.86427408756773971</v>
      </c>
      <c r="O90">
        <f t="shared" si="11"/>
        <v>0.74696969844104899</v>
      </c>
      <c r="Q90" s="2"/>
      <c r="S90" s="1"/>
    </row>
    <row r="91" spans="1:19">
      <c r="A91">
        <v>90</v>
      </c>
      <c r="B91" s="1">
        <v>35682</v>
      </c>
      <c r="C91">
        <v>3.612798798</v>
      </c>
      <c r="E91">
        <f t="shared" ca="1" si="12"/>
        <v>-0.51768042312762819</v>
      </c>
      <c r="F91">
        <f t="shared" ca="1" si="15"/>
        <v>-8.3574327509724296E-4</v>
      </c>
      <c r="I91" s="2">
        <f t="shared" ca="1" si="13"/>
        <v>3.2461647945385655E-2</v>
      </c>
      <c r="J91">
        <f t="shared" ca="1" si="8"/>
        <v>3.2461647945385654</v>
      </c>
      <c r="L91" s="2">
        <f t="shared" si="14"/>
        <v>2.816292930425808E-2</v>
      </c>
      <c r="M91">
        <f t="shared" si="9"/>
        <v>2.8162929304258082</v>
      </c>
      <c r="N91">
        <f t="shared" si="10"/>
        <v>-0.79650586757419184</v>
      </c>
      <c r="O91">
        <f t="shared" si="11"/>
        <v>0.63442159708011603</v>
      </c>
      <c r="Q91" s="2"/>
      <c r="S91" s="1"/>
    </row>
    <row r="92" spans="1:19">
      <c r="A92">
        <v>91</v>
      </c>
      <c r="B92" t="s">
        <v>468</v>
      </c>
      <c r="C92">
        <v>3.297527594</v>
      </c>
      <c r="E92">
        <f t="shared" ca="1" si="12"/>
        <v>2.1236523082796861</v>
      </c>
      <c r="F92">
        <f t="shared" ca="1" si="15"/>
        <v>3.4284242864867252E-3</v>
      </c>
      <c r="I92" s="2">
        <f t="shared" ca="1" si="13"/>
        <v>3.5398229081184715E-2</v>
      </c>
      <c r="J92">
        <f t="shared" ca="1" si="8"/>
        <v>3.5398229081184716</v>
      </c>
      <c r="L92" s="2">
        <f t="shared" si="14"/>
        <v>2.7736218254193565E-2</v>
      </c>
      <c r="M92">
        <f t="shared" si="9"/>
        <v>2.7736218254193568</v>
      </c>
      <c r="N92">
        <f t="shared" si="10"/>
        <v>-0.52390576858064319</v>
      </c>
      <c r="O92">
        <f t="shared" si="11"/>
        <v>0.27447725435207448</v>
      </c>
      <c r="Q92" s="2"/>
    </row>
    <row r="93" spans="1:19">
      <c r="A93">
        <v>92</v>
      </c>
      <c r="B93" t="s">
        <v>469</v>
      </c>
      <c r="C93">
        <v>3.4710403479999998</v>
      </c>
      <c r="E93">
        <f t="shared" ca="1" si="12"/>
        <v>2.8773131394291551E-2</v>
      </c>
      <c r="F93">
        <f t="shared" ca="1" si="15"/>
        <v>4.6451343322944279E-5</v>
      </c>
      <c r="I93" s="2">
        <f t="shared" ca="1" si="13"/>
        <v>3.4900092284797124E-2</v>
      </c>
      <c r="J93">
        <f t="shared" ca="1" si="8"/>
        <v>3.4900092284797122</v>
      </c>
      <c r="L93" s="2">
        <f t="shared" si="14"/>
        <v>2.7309507204129051E-2</v>
      </c>
      <c r="M93">
        <f t="shared" si="9"/>
        <v>2.7309507204129049</v>
      </c>
      <c r="N93">
        <f t="shared" si="10"/>
        <v>-0.74008962758709496</v>
      </c>
      <c r="O93">
        <f t="shared" si="11"/>
        <v>0.5477326568620049</v>
      </c>
      <c r="Q93" s="2"/>
    </row>
    <row r="94" spans="1:19">
      <c r="A94">
        <v>93</v>
      </c>
      <c r="B94" t="s">
        <v>470</v>
      </c>
      <c r="C94">
        <v>3.54959917</v>
      </c>
      <c r="E94">
        <f t="shared" ca="1" si="12"/>
        <v>-2.3939851115479769</v>
      </c>
      <c r="F94">
        <f t="shared" ca="1" si="15"/>
        <v>-3.8648495640830538E-3</v>
      </c>
      <c r="I94" s="2">
        <f t="shared" ca="1" si="13"/>
        <v>3.0489928778764115E-2</v>
      </c>
      <c r="J94">
        <f t="shared" ca="1" si="8"/>
        <v>3.0489928778764117</v>
      </c>
      <c r="L94" s="2">
        <f t="shared" si="14"/>
        <v>2.6882796154064536E-2</v>
      </c>
      <c r="M94">
        <f t="shared" si="9"/>
        <v>2.6882796154064534</v>
      </c>
      <c r="N94">
        <f t="shared" si="10"/>
        <v>-0.86131955459354659</v>
      </c>
      <c r="O94">
        <f t="shared" si="11"/>
        <v>0.7418713751252255</v>
      </c>
      <c r="Q94" s="2"/>
    </row>
    <row r="95" spans="1:19">
      <c r="A95">
        <v>94</v>
      </c>
      <c r="B95" s="1">
        <v>35621</v>
      </c>
      <c r="C95">
        <v>3.42290546</v>
      </c>
      <c r="E95">
        <f t="shared" ca="1" si="12"/>
        <v>0.77153783083817151</v>
      </c>
      <c r="F95">
        <f t="shared" ca="1" si="15"/>
        <v>1.245570674105144E-3</v>
      </c>
      <c r="I95" s="2">
        <f t="shared" ca="1" si="13"/>
        <v>3.1251532329396814E-2</v>
      </c>
      <c r="J95">
        <f t="shared" ca="1" si="8"/>
        <v>3.1251532329396814</v>
      </c>
      <c r="L95" s="2">
        <f t="shared" si="14"/>
        <v>2.6456085104000021E-2</v>
      </c>
      <c r="M95">
        <f t="shared" si="9"/>
        <v>2.645608510400002</v>
      </c>
      <c r="N95">
        <f t="shared" si="10"/>
        <v>-0.77729694959999796</v>
      </c>
      <c r="O95">
        <f t="shared" si="11"/>
        <v>0.60419054785746173</v>
      </c>
      <c r="Q95" s="2"/>
      <c r="S95" s="1"/>
    </row>
    <row r="96" spans="1:19">
      <c r="A96">
        <v>95</v>
      </c>
      <c r="B96" t="s">
        <v>471</v>
      </c>
      <c r="C96">
        <v>3.1864259640000001</v>
      </c>
      <c r="E96">
        <f t="shared" ca="1" si="12"/>
        <v>-2.0107840071039913</v>
      </c>
      <c r="F96">
        <f t="shared" ca="1" si="15"/>
        <v>-3.2462097010686835E-3</v>
      </c>
      <c r="I96" s="2">
        <f t="shared" ca="1" si="13"/>
        <v>2.7501265655273346E-2</v>
      </c>
      <c r="J96">
        <f t="shared" ca="1" si="8"/>
        <v>2.7501265655273346</v>
      </c>
      <c r="L96" s="2">
        <f t="shared" si="14"/>
        <v>2.6029374053935506E-2</v>
      </c>
      <c r="M96">
        <f t="shared" si="9"/>
        <v>2.6029374053935506</v>
      </c>
      <c r="N96">
        <f t="shared" si="10"/>
        <v>-0.58348855860644955</v>
      </c>
      <c r="O96">
        <f t="shared" si="11"/>
        <v>0.34045889802463208</v>
      </c>
      <c r="Q96" s="2"/>
    </row>
    <row r="97" spans="1:19">
      <c r="A97">
        <v>96</v>
      </c>
      <c r="B97" t="s">
        <v>472</v>
      </c>
      <c r="C97">
        <v>3.3757480599999998</v>
      </c>
      <c r="E97">
        <f t="shared" ca="1" si="12"/>
        <v>-1.8597735563455133</v>
      </c>
      <c r="F97">
        <f t="shared" ca="1" si="15"/>
        <v>-3.0024184293641967E-3</v>
      </c>
      <c r="I97" s="2">
        <f t="shared" ca="1" si="13"/>
        <v>2.4048006805330896E-2</v>
      </c>
      <c r="J97">
        <f t="shared" ca="1" si="8"/>
        <v>2.4048006805330897</v>
      </c>
      <c r="L97" s="2">
        <f t="shared" si="14"/>
        <v>2.5602663003870988E-2</v>
      </c>
      <c r="M97">
        <f t="shared" si="9"/>
        <v>2.5602663003870987</v>
      </c>
      <c r="N97">
        <f t="shared" si="10"/>
        <v>-0.81548175961290115</v>
      </c>
      <c r="O97">
        <f t="shared" si="11"/>
        <v>0.66501050026135344</v>
      </c>
      <c r="Q97" s="2"/>
    </row>
    <row r="98" spans="1:19">
      <c r="A98">
        <v>97</v>
      </c>
      <c r="B98" t="s">
        <v>473</v>
      </c>
      <c r="C98">
        <v>3.1389749060000001</v>
      </c>
      <c r="E98">
        <f t="shared" ca="1" si="12"/>
        <v>-0.59513544144501695</v>
      </c>
      <c r="F98">
        <f t="shared" ca="1" si="15"/>
        <v>-9.6078665666883534E-4</v>
      </c>
      <c r="I98" s="2">
        <f t="shared" ca="1" si="13"/>
        <v>2.2686420035239879E-2</v>
      </c>
      <c r="J98">
        <f t="shared" ca="1" si="8"/>
        <v>2.268642003523988</v>
      </c>
      <c r="L98" s="2">
        <f t="shared" si="14"/>
        <v>2.517595195380647E-2</v>
      </c>
      <c r="M98">
        <f t="shared" si="9"/>
        <v>2.5175951953806468</v>
      </c>
      <c r="N98">
        <f t="shared" si="10"/>
        <v>-0.62137971061935326</v>
      </c>
      <c r="O98">
        <f t="shared" si="11"/>
        <v>0.38611274476939123</v>
      </c>
      <c r="Q98" s="2"/>
    </row>
    <row r="99" spans="1:19">
      <c r="A99">
        <v>98</v>
      </c>
      <c r="B99" s="1">
        <v>35531</v>
      </c>
      <c r="C99">
        <v>3.3124882609999999</v>
      </c>
      <c r="E99">
        <f t="shared" ca="1" si="12"/>
        <v>-7.1185921832343735E-2</v>
      </c>
      <c r="F99">
        <f t="shared" ca="1" si="15"/>
        <v>-1.1492255220613573E-4</v>
      </c>
      <c r="I99" s="2">
        <f t="shared" ca="1" si="13"/>
        <v>2.2186981889216119E-2</v>
      </c>
      <c r="J99">
        <f t="shared" ca="1" si="8"/>
        <v>2.218698188921612</v>
      </c>
      <c r="L99" s="2">
        <f t="shared" si="14"/>
        <v>2.4749240903741955E-2</v>
      </c>
      <c r="M99">
        <f t="shared" si="9"/>
        <v>2.4749240903741954</v>
      </c>
      <c r="N99">
        <f t="shared" si="10"/>
        <v>-0.83756417062580457</v>
      </c>
      <c r="O99">
        <f t="shared" si="11"/>
        <v>0.70151373991609189</v>
      </c>
      <c r="Q99" s="2"/>
      <c r="S99" s="1"/>
    </row>
    <row r="100" spans="1:19">
      <c r="A100">
        <v>99</v>
      </c>
      <c r="B100" s="1">
        <v>35745</v>
      </c>
      <c r="C100">
        <v>2.8550746679999999</v>
      </c>
      <c r="E100">
        <f t="shared" ca="1" si="12"/>
        <v>0.70841346212883249</v>
      </c>
      <c r="F100">
        <f t="shared" ca="1" si="15"/>
        <v>1.1436626932607873E-3</v>
      </c>
      <c r="I100" s="2">
        <f t="shared" ca="1" si="13"/>
        <v>2.2948110411973179E-2</v>
      </c>
      <c r="J100">
        <f t="shared" ca="1" si="8"/>
        <v>2.2948110411973177</v>
      </c>
      <c r="L100" s="2">
        <f t="shared" si="14"/>
        <v>2.4322529853677437E-2</v>
      </c>
      <c r="M100">
        <f t="shared" si="9"/>
        <v>2.4322529853677435</v>
      </c>
      <c r="N100">
        <f t="shared" si="10"/>
        <v>-0.42282168263225639</v>
      </c>
      <c r="O100">
        <f t="shared" si="11"/>
        <v>0.17877817530397255</v>
      </c>
      <c r="Q100" s="2"/>
      <c r="S100" s="1"/>
    </row>
    <row r="101" spans="1:19">
      <c r="A101">
        <v>100</v>
      </c>
      <c r="B101" t="s">
        <v>474</v>
      </c>
      <c r="C101">
        <v>2.571495546</v>
      </c>
      <c r="E101">
        <f t="shared" ca="1" si="12"/>
        <v>6.7002140489558465E-2</v>
      </c>
      <c r="F101">
        <f t="shared" ca="1" si="15"/>
        <v>1.0816825560634319E-4</v>
      </c>
      <c r="I101" s="2">
        <f t="shared" ca="1" si="13"/>
        <v>2.2653680239299291E-2</v>
      </c>
      <c r="J101">
        <f t="shared" ca="1" si="8"/>
        <v>2.2653680239299292</v>
      </c>
      <c r="L101" s="2">
        <f t="shared" si="14"/>
        <v>2.3895818803612918E-2</v>
      </c>
      <c r="M101">
        <f t="shared" si="9"/>
        <v>2.389581880361292</v>
      </c>
      <c r="N101">
        <f t="shared" si="10"/>
        <v>-0.18191366563870792</v>
      </c>
      <c r="O101">
        <f t="shared" si="11"/>
        <v>3.3092581746111627E-2</v>
      </c>
      <c r="Q101" s="2"/>
    </row>
    <row r="102" spans="1:19">
      <c r="A102">
        <v>101</v>
      </c>
      <c r="B102" t="s">
        <v>475</v>
      </c>
      <c r="C102">
        <v>2.4296180359999999</v>
      </c>
      <c r="E102">
        <f t="shared" ca="1" si="12"/>
        <v>1.0993029952570663</v>
      </c>
      <c r="F102">
        <f t="shared" ca="1" si="15"/>
        <v>1.7747147555430079E-3</v>
      </c>
      <c r="I102" s="2">
        <f t="shared" ca="1" si="13"/>
        <v>2.4023864990569094E-2</v>
      </c>
      <c r="J102">
        <f t="shared" ca="1" si="8"/>
        <v>2.4023864990569095</v>
      </c>
      <c r="L102" s="2">
        <f t="shared" si="14"/>
        <v>2.34691077535484E-2</v>
      </c>
      <c r="M102">
        <f t="shared" si="9"/>
        <v>2.3469107753548402</v>
      </c>
      <c r="N102">
        <f t="shared" si="10"/>
        <v>-8.2707260645159764E-2</v>
      </c>
      <c r="O102">
        <f t="shared" si="11"/>
        <v>6.8404909634263928E-3</v>
      </c>
      <c r="Q102" s="2"/>
    </row>
    <row r="103" spans="1:19">
      <c r="A103">
        <v>102</v>
      </c>
      <c r="B103" s="1">
        <v>35473</v>
      </c>
      <c r="C103">
        <v>2.4768876940000002</v>
      </c>
      <c r="E103">
        <f t="shared" ca="1" si="12"/>
        <v>-1.1923951908867636</v>
      </c>
      <c r="F103">
        <f t="shared" ca="1" si="15"/>
        <v>-1.9250027961675911E-3</v>
      </c>
      <c r="I103" s="2">
        <f t="shared" ca="1" si="13"/>
        <v>2.1662064649118427E-2</v>
      </c>
      <c r="J103">
        <f t="shared" ca="1" si="8"/>
        <v>2.1662064649118427</v>
      </c>
      <c r="L103" s="2">
        <f t="shared" si="14"/>
        <v>2.3042396703483885E-2</v>
      </c>
      <c r="M103">
        <f t="shared" si="9"/>
        <v>2.3042396703483887</v>
      </c>
      <c r="N103">
        <f t="shared" si="10"/>
        <v>-0.17264802365161147</v>
      </c>
      <c r="O103">
        <f t="shared" si="11"/>
        <v>2.9807340070807393E-2</v>
      </c>
      <c r="Q103" s="2"/>
      <c r="S103" s="1"/>
    </row>
    <row r="104" spans="1:19">
      <c r="A104">
        <v>103</v>
      </c>
      <c r="B104" s="1">
        <v>35685</v>
      </c>
      <c r="C104">
        <v>2.4295490339999999</v>
      </c>
      <c r="E104">
        <f t="shared" ca="1" si="12"/>
        <v>-4.6992563008555088E-2</v>
      </c>
      <c r="F104">
        <f t="shared" ca="1" si="15"/>
        <v>-7.5864793721011338E-5</v>
      </c>
      <c r="I104" s="2">
        <f t="shared" ca="1" si="13"/>
        <v>2.1185050510043373E-2</v>
      </c>
      <c r="J104">
        <f t="shared" ca="1" si="8"/>
        <v>2.1185050510043371</v>
      </c>
      <c r="L104" s="2">
        <f t="shared" si="14"/>
        <v>2.2615685653419371E-2</v>
      </c>
      <c r="M104">
        <f t="shared" si="9"/>
        <v>2.2615685653419373</v>
      </c>
      <c r="N104">
        <f t="shared" si="10"/>
        <v>-0.1679804686580626</v>
      </c>
      <c r="O104">
        <f t="shared" si="11"/>
        <v>2.8217437850582353E-2</v>
      </c>
      <c r="Q104" s="2"/>
      <c r="S104" s="1"/>
    </row>
    <row r="105" spans="1:19">
      <c r="A105">
        <v>104</v>
      </c>
      <c r="B105" t="s">
        <v>476</v>
      </c>
      <c r="C105">
        <v>2.4298735150000002</v>
      </c>
      <c r="E105">
        <f t="shared" ca="1" si="12"/>
        <v>1.6576131100164888</v>
      </c>
      <c r="F105">
        <f t="shared" ca="1" si="15"/>
        <v>2.6760506048106197E-3</v>
      </c>
      <c r="I105" s="2">
        <f t="shared" ca="1" si="13"/>
        <v>2.3461383180702233E-2</v>
      </c>
      <c r="J105">
        <f t="shared" ca="1" si="8"/>
        <v>2.3461383180702233</v>
      </c>
      <c r="L105" s="2">
        <f t="shared" si="14"/>
        <v>2.2188974603354856E-2</v>
      </c>
      <c r="M105">
        <f t="shared" si="9"/>
        <v>2.2188974603354854</v>
      </c>
      <c r="N105">
        <f t="shared" si="10"/>
        <v>-0.21097605466451474</v>
      </c>
      <c r="O105">
        <f t="shared" si="11"/>
        <v>4.4510895641804313E-2</v>
      </c>
      <c r="Q105" s="2"/>
    </row>
    <row r="106" spans="1:19">
      <c r="A106">
        <v>105</v>
      </c>
      <c r="B106" t="s">
        <v>477</v>
      </c>
      <c r="C106">
        <v>2.9972326599999999</v>
      </c>
      <c r="E106">
        <f t="shared" ca="1" si="12"/>
        <v>-0.56554944822494013</v>
      </c>
      <c r="F106">
        <f t="shared" ca="1" si="15"/>
        <v>-9.130230292143433E-4</v>
      </c>
      <c r="I106" s="2">
        <f t="shared" ca="1" si="13"/>
        <v>2.2097179705705156E-2</v>
      </c>
      <c r="J106">
        <f t="shared" ca="1" si="8"/>
        <v>2.2097179705705154</v>
      </c>
      <c r="L106" s="2">
        <f t="shared" si="14"/>
        <v>2.1762263553290338E-2</v>
      </c>
      <c r="M106">
        <f t="shared" si="9"/>
        <v>2.176226355329034</v>
      </c>
      <c r="N106">
        <f t="shared" si="10"/>
        <v>-0.82100630467096591</v>
      </c>
      <c r="O106">
        <f t="shared" si="11"/>
        <v>0.67405135230947488</v>
      </c>
      <c r="Q106" s="2"/>
    </row>
    <row r="107" spans="1:19">
      <c r="A107">
        <v>106</v>
      </c>
      <c r="B107" t="s">
        <v>478</v>
      </c>
      <c r="C107">
        <v>2.5561321549999998</v>
      </c>
      <c r="E107">
        <f t="shared" ca="1" si="12"/>
        <v>0.84631651933391594</v>
      </c>
      <c r="F107">
        <f t="shared" ca="1" si="15"/>
        <v>1.3662933888126739E-3</v>
      </c>
      <c r="I107" s="2">
        <f t="shared" ca="1" si="13"/>
        <v>2.3030195061072629E-2</v>
      </c>
      <c r="J107">
        <f t="shared" ca="1" si="8"/>
        <v>2.3030195061072631</v>
      </c>
      <c r="L107" s="2">
        <f t="shared" si="14"/>
        <v>2.1335552503225819E-2</v>
      </c>
      <c r="M107">
        <f t="shared" si="9"/>
        <v>2.1335552503225821</v>
      </c>
      <c r="N107">
        <f t="shared" si="10"/>
        <v>-0.42257690467741771</v>
      </c>
      <c r="O107">
        <f t="shared" si="11"/>
        <v>0.17857124036674737</v>
      </c>
      <c r="Q107" s="2"/>
    </row>
    <row r="108" spans="1:19">
      <c r="A108">
        <v>107</v>
      </c>
      <c r="B108" s="1">
        <v>35947</v>
      </c>
      <c r="C108">
        <v>2.4453170160000002</v>
      </c>
      <c r="E108">
        <f t="shared" ca="1" si="12"/>
        <v>-0.46798702188376629</v>
      </c>
      <c r="F108">
        <f t="shared" ca="1" si="15"/>
        <v>-7.5551824812915226E-4</v>
      </c>
      <c r="I108" s="2">
        <f t="shared" ca="1" si="13"/>
        <v>2.1814072911722025E-2</v>
      </c>
      <c r="J108">
        <f t="shared" ca="1" si="8"/>
        <v>2.1814072911722024</v>
      </c>
      <c r="L108" s="2">
        <f t="shared" si="14"/>
        <v>2.0908841453161301E-2</v>
      </c>
      <c r="M108">
        <f t="shared" si="9"/>
        <v>2.0908841453161302</v>
      </c>
      <c r="N108">
        <f t="shared" si="10"/>
        <v>-0.35443287068386997</v>
      </c>
      <c r="O108">
        <f t="shared" si="11"/>
        <v>0.1256226598212089</v>
      </c>
      <c r="Q108" s="2"/>
      <c r="S108" s="1"/>
    </row>
    <row r="109" spans="1:19">
      <c r="A109">
        <v>108</v>
      </c>
      <c r="B109" t="s">
        <v>479</v>
      </c>
      <c r="C109">
        <v>2.761133338</v>
      </c>
      <c r="E109">
        <f t="shared" ca="1" si="12"/>
        <v>1.2731415624482398</v>
      </c>
      <c r="F109">
        <f t="shared" ca="1" si="15"/>
        <v>2.0553597384164383E-3</v>
      </c>
      <c r="I109" s="2">
        <f t="shared" ca="1" si="13"/>
        <v>2.3424247488674749E-2</v>
      </c>
      <c r="J109">
        <f t="shared" ca="1" si="8"/>
        <v>2.342424748867475</v>
      </c>
      <c r="L109" s="2">
        <f t="shared" si="14"/>
        <v>2.0482130403096783E-2</v>
      </c>
      <c r="M109">
        <f t="shared" si="9"/>
        <v>2.0482130403096783</v>
      </c>
      <c r="N109">
        <f t="shared" si="10"/>
        <v>-0.71292029769032172</v>
      </c>
      <c r="O109">
        <f t="shared" si="11"/>
        <v>0.50825535085885698</v>
      </c>
      <c r="Q109" s="2"/>
    </row>
    <row r="110" spans="1:19">
      <c r="A110">
        <v>109</v>
      </c>
      <c r="B110" t="s">
        <v>480</v>
      </c>
      <c r="C110">
        <v>2.508293321</v>
      </c>
      <c r="E110">
        <f t="shared" ca="1" si="12"/>
        <v>0.66471034077856994</v>
      </c>
      <c r="F110">
        <f t="shared" ca="1" si="15"/>
        <v>1.0731083741529234E-3</v>
      </c>
      <c r="I110" s="2">
        <f t="shared" ca="1" si="13"/>
        <v>2.4009350706813613E-2</v>
      </c>
      <c r="J110">
        <f t="shared" ca="1" si="8"/>
        <v>2.4009350706813612</v>
      </c>
      <c r="L110" s="2">
        <f t="shared" si="14"/>
        <v>2.0055419353032265E-2</v>
      </c>
      <c r="M110">
        <f t="shared" si="9"/>
        <v>2.0055419353032264</v>
      </c>
      <c r="N110">
        <f t="shared" si="10"/>
        <v>-0.50275138569677358</v>
      </c>
      <c r="O110">
        <f t="shared" si="11"/>
        <v>0.252758955820026</v>
      </c>
      <c r="Q110" s="2"/>
    </row>
    <row r="111" spans="1:19">
      <c r="A111">
        <v>110</v>
      </c>
      <c r="B111" t="s">
        <v>481</v>
      </c>
      <c r="C111">
        <v>2.9505444299999999</v>
      </c>
      <c r="E111">
        <f t="shared" ca="1" si="12"/>
        <v>-0.38628347638984939</v>
      </c>
      <c r="F111">
        <f t="shared" ca="1" si="15"/>
        <v>-6.2361604428377284E-4</v>
      </c>
      <c r="I111" s="2">
        <f t="shared" ca="1" si="13"/>
        <v>2.2874897413448701E-2</v>
      </c>
      <c r="J111">
        <f t="shared" ca="1" si="8"/>
        <v>2.2874897413448703</v>
      </c>
      <c r="L111" s="2">
        <f t="shared" si="14"/>
        <v>1.9628708302967746E-2</v>
      </c>
      <c r="M111">
        <f t="shared" si="9"/>
        <v>1.9628708302967746</v>
      </c>
      <c r="N111">
        <f t="shared" si="10"/>
        <v>-0.98767359970322532</v>
      </c>
      <c r="O111">
        <f t="shared" si="11"/>
        <v>0.97549913955072698</v>
      </c>
      <c r="Q111" s="2"/>
    </row>
    <row r="112" spans="1:19">
      <c r="A112">
        <v>111</v>
      </c>
      <c r="B112" s="1">
        <v>35856</v>
      </c>
      <c r="C112">
        <v>2.7926752920000002</v>
      </c>
      <c r="E112">
        <f t="shared" ca="1" si="12"/>
        <v>0.99681723774117437</v>
      </c>
      <c r="F112">
        <f t="shared" ca="1" si="15"/>
        <v>1.6092617486093519E-3</v>
      </c>
      <c r="I112" s="2">
        <f t="shared" ca="1" si="13"/>
        <v>2.398687878350482E-2</v>
      </c>
      <c r="J112">
        <f t="shared" ca="1" si="8"/>
        <v>2.3986878783504819</v>
      </c>
      <c r="L112" s="2">
        <f t="shared" si="14"/>
        <v>1.9201997252903232E-2</v>
      </c>
      <c r="M112">
        <f t="shared" si="9"/>
        <v>1.9201997252903231</v>
      </c>
      <c r="N112">
        <f t="shared" si="10"/>
        <v>-0.87247556670967708</v>
      </c>
      <c r="O112">
        <f t="shared" si="11"/>
        <v>0.76121361450537217</v>
      </c>
      <c r="Q112" s="2"/>
      <c r="S112" s="1"/>
    </row>
    <row r="113" spans="1:19">
      <c r="A113">
        <v>112</v>
      </c>
      <c r="B113" s="1">
        <v>36070</v>
      </c>
      <c r="C113">
        <v>2.6508555839999999</v>
      </c>
      <c r="E113">
        <f t="shared" ca="1" si="12"/>
        <v>-0.12161374433412248</v>
      </c>
      <c r="F113">
        <f t="shared" ca="1" si="15"/>
        <v>-1.9633322885300732E-4</v>
      </c>
      <c r="I113" s="2">
        <f t="shared" ca="1" si="13"/>
        <v>2.3257503803907262E-2</v>
      </c>
      <c r="J113">
        <f t="shared" ca="1" si="8"/>
        <v>2.3257503803907262</v>
      </c>
      <c r="L113" s="2">
        <f t="shared" si="14"/>
        <v>1.8775286202838713E-2</v>
      </c>
      <c r="M113">
        <f t="shared" si="9"/>
        <v>1.8775286202838712</v>
      </c>
      <c r="N113">
        <f t="shared" si="10"/>
        <v>-0.77332696371612863</v>
      </c>
      <c r="O113">
        <f t="shared" si="11"/>
        <v>0.5980345928104065</v>
      </c>
      <c r="Q113" s="2"/>
      <c r="S113" s="1"/>
    </row>
    <row r="114" spans="1:19">
      <c r="A114">
        <v>113</v>
      </c>
      <c r="B114" t="s">
        <v>482</v>
      </c>
      <c r="C114">
        <v>2.7454352219999998</v>
      </c>
      <c r="E114">
        <f t="shared" ca="1" si="12"/>
        <v>0.66068673085192375</v>
      </c>
      <c r="F114">
        <f t="shared" ca="1" si="15"/>
        <v>1.0666126582873456E-3</v>
      </c>
      <c r="I114" s="2">
        <f t="shared" ca="1" si="13"/>
        <v>2.3795536830287626E-2</v>
      </c>
      <c r="J114">
        <f t="shared" ca="1" si="8"/>
        <v>2.3795536830287625</v>
      </c>
      <c r="L114" s="2">
        <f t="shared" si="14"/>
        <v>1.8348575152774198E-2</v>
      </c>
      <c r="M114">
        <f t="shared" si="9"/>
        <v>1.8348575152774198</v>
      </c>
      <c r="N114">
        <f t="shared" si="10"/>
        <v>-0.91057770672257998</v>
      </c>
      <c r="O114">
        <f t="shared" si="11"/>
        <v>0.82915175998015289</v>
      </c>
      <c r="Q114" s="2"/>
    </row>
    <row r="115" spans="1:19">
      <c r="A115">
        <v>114</v>
      </c>
      <c r="B115" t="s">
        <v>483</v>
      </c>
      <c r="C115">
        <v>2.6507856950000002</v>
      </c>
      <c r="E115">
        <f t="shared" ca="1" si="12"/>
        <v>0.13973367272914933</v>
      </c>
      <c r="F115">
        <f t="shared" ca="1" si="15"/>
        <v>2.2558604125393867E-4</v>
      </c>
      <c r="I115" s="2">
        <f t="shared" ca="1" si="13"/>
        <v>2.3467738294093012E-2</v>
      </c>
      <c r="J115">
        <f t="shared" ca="1" si="8"/>
        <v>2.346773829409301</v>
      </c>
      <c r="L115" s="2">
        <f t="shared" si="14"/>
        <v>1.792186410270968E-2</v>
      </c>
      <c r="M115">
        <f t="shared" si="9"/>
        <v>1.7921864102709679</v>
      </c>
      <c r="N115">
        <f t="shared" si="10"/>
        <v>-0.85859928472903224</v>
      </c>
      <c r="O115">
        <f t="shared" si="11"/>
        <v>0.73719273173720579</v>
      </c>
      <c r="Q115" s="2"/>
    </row>
    <row r="116" spans="1:19">
      <c r="A116">
        <v>115</v>
      </c>
      <c r="B116" s="1">
        <v>35857</v>
      </c>
      <c r="C116">
        <v>2.4774415470000002</v>
      </c>
      <c r="E116">
        <f t="shared" ca="1" si="12"/>
        <v>0.7030736176105461</v>
      </c>
      <c r="F116">
        <f t="shared" ca="1" si="15"/>
        <v>1.1350420482704657E-3</v>
      </c>
      <c r="I116" s="2">
        <f t="shared" ca="1" si="13"/>
        <v>2.4044024668694597E-2</v>
      </c>
      <c r="J116">
        <f t="shared" ca="1" si="8"/>
        <v>2.4044024668694597</v>
      </c>
      <c r="L116" s="2">
        <f t="shared" si="14"/>
        <v>1.7495153052645162E-2</v>
      </c>
      <c r="M116">
        <f t="shared" si="9"/>
        <v>1.7495153052645163</v>
      </c>
      <c r="N116">
        <f t="shared" si="10"/>
        <v>-0.72792624173548393</v>
      </c>
      <c r="O116">
        <f t="shared" si="11"/>
        <v>0.5298766134071462</v>
      </c>
      <c r="Q116" s="2"/>
      <c r="S116" s="1"/>
    </row>
    <row r="117" spans="1:19">
      <c r="A117">
        <v>116</v>
      </c>
      <c r="B117" s="1">
        <v>36071</v>
      </c>
      <c r="C117">
        <v>2.177796635</v>
      </c>
      <c r="E117">
        <f t="shared" ca="1" si="12"/>
        <v>1.2709490282613101</v>
      </c>
      <c r="F117">
        <f t="shared" ca="1" si="15"/>
        <v>2.0518201112250589E-3</v>
      </c>
      <c r="I117" s="2">
        <f t="shared" ca="1" si="13"/>
        <v>2.5509405153853935E-2</v>
      </c>
      <c r="J117">
        <f t="shared" ca="1" si="8"/>
        <v>2.5509405153853937</v>
      </c>
      <c r="L117" s="2">
        <f t="shared" si="14"/>
        <v>1.7068442002580647E-2</v>
      </c>
      <c r="M117">
        <f t="shared" si="9"/>
        <v>1.7068442002580646</v>
      </c>
      <c r="N117">
        <f t="shared" si="10"/>
        <v>-0.47095243474193538</v>
      </c>
      <c r="O117">
        <f t="shared" si="11"/>
        <v>0.22179619578935689</v>
      </c>
      <c r="Q117" s="2"/>
      <c r="S117" s="1"/>
    </row>
    <row r="118" spans="1:19">
      <c r="A118">
        <v>117</v>
      </c>
      <c r="B118" t="s">
        <v>484</v>
      </c>
      <c r="C118">
        <v>2.0675096339999999</v>
      </c>
      <c r="E118">
        <f t="shared" ca="1" si="12"/>
        <v>-1.961276086495662</v>
      </c>
      <c r="F118">
        <f t="shared" ca="1" si="15"/>
        <v>-3.1662841140385968E-3</v>
      </c>
      <c r="I118" s="2">
        <f t="shared" ca="1" si="13"/>
        <v>2.1705385910968988E-2</v>
      </c>
      <c r="J118">
        <f t="shared" ca="1" si="8"/>
        <v>2.1705385910968991</v>
      </c>
      <c r="L118" s="2">
        <f t="shared" si="14"/>
        <v>1.6641730952516129E-2</v>
      </c>
      <c r="M118">
        <f t="shared" si="9"/>
        <v>1.6641730952516129</v>
      </c>
      <c r="N118">
        <f t="shared" si="10"/>
        <v>-0.40333653874838693</v>
      </c>
      <c r="O118">
        <f t="shared" si="11"/>
        <v>0.16268036348952902</v>
      </c>
      <c r="Q118" s="2"/>
    </row>
    <row r="119" spans="1:19">
      <c r="A119">
        <v>118</v>
      </c>
      <c r="B119" t="s">
        <v>485</v>
      </c>
      <c r="C119">
        <v>1.799010134</v>
      </c>
      <c r="E119">
        <f t="shared" ca="1" si="12"/>
        <v>-1.6930519874588246</v>
      </c>
      <c r="F119">
        <f t="shared" ca="1" si="15"/>
        <v>-2.7332631285535264E-3</v>
      </c>
      <c r="I119" s="2">
        <f t="shared" ca="1" si="13"/>
        <v>1.841557442572395E-2</v>
      </c>
      <c r="J119">
        <f t="shared" ca="1" si="8"/>
        <v>1.8415574425723951</v>
      </c>
      <c r="L119" s="2">
        <f t="shared" si="14"/>
        <v>1.6215019902451614E-2</v>
      </c>
      <c r="M119">
        <f t="shared" si="9"/>
        <v>1.6215019902451615</v>
      </c>
      <c r="N119">
        <f t="shared" si="10"/>
        <v>-0.17750814375483848</v>
      </c>
      <c r="O119">
        <f t="shared" si="11"/>
        <v>3.1509141099288401E-2</v>
      </c>
      <c r="Q119" s="2"/>
    </row>
    <row r="120" spans="1:19">
      <c r="A120">
        <v>119</v>
      </c>
      <c r="B120" t="s">
        <v>486</v>
      </c>
      <c r="C120">
        <v>2.1619831629999999</v>
      </c>
      <c r="E120">
        <f t="shared" ca="1" si="12"/>
        <v>-1.536916037712766</v>
      </c>
      <c r="F120">
        <f t="shared" ca="1" si="15"/>
        <v>-2.4811972512834893E-3</v>
      </c>
      <c r="I120" s="2">
        <f t="shared" ca="1" si="13"/>
        <v>1.5449756794816147E-2</v>
      </c>
      <c r="J120">
        <f t="shared" ca="1" si="8"/>
        <v>1.5449756794816147</v>
      </c>
      <c r="L120" s="2">
        <f t="shared" si="14"/>
        <v>1.5788308852387099E-2</v>
      </c>
      <c r="M120">
        <f t="shared" si="9"/>
        <v>1.5788308852387098</v>
      </c>
      <c r="N120">
        <f t="shared" si="10"/>
        <v>-0.58315227776129008</v>
      </c>
      <c r="O120">
        <f t="shared" si="11"/>
        <v>0.34006657905818083</v>
      </c>
      <c r="Q120" s="2"/>
    </row>
    <row r="121" spans="1:19">
      <c r="A121">
        <v>120</v>
      </c>
      <c r="B121" s="1">
        <v>35980</v>
      </c>
      <c r="C121">
        <v>1.846385019</v>
      </c>
      <c r="E121">
        <f t="shared" ca="1" si="12"/>
        <v>-0.91768984441750812</v>
      </c>
      <c r="F121">
        <f t="shared" ca="1" si="15"/>
        <v>-1.4815184848276251E-3</v>
      </c>
      <c r="I121" s="2">
        <f t="shared" ca="1" si="13"/>
        <v>1.3550677315534032E-2</v>
      </c>
      <c r="J121">
        <f t="shared" ca="1" si="8"/>
        <v>1.3550677315534032</v>
      </c>
      <c r="L121" s="2">
        <f t="shared" si="14"/>
        <v>1.5361597802322585E-2</v>
      </c>
      <c r="M121">
        <f t="shared" si="9"/>
        <v>1.5361597802322584</v>
      </c>
      <c r="N121">
        <f t="shared" si="10"/>
        <v>-0.31022523876774155</v>
      </c>
      <c r="O121">
        <f t="shared" si="11"/>
        <v>9.623969876850226E-2</v>
      </c>
      <c r="Q121" s="2"/>
      <c r="S121" s="1"/>
    </row>
    <row r="122" spans="1:19">
      <c r="A122">
        <v>121</v>
      </c>
      <c r="B122" t="s">
        <v>487</v>
      </c>
      <c r="C122">
        <v>1.9884575090000001</v>
      </c>
      <c r="E122">
        <f t="shared" ca="1" si="12"/>
        <v>4.9605788235554268E-2</v>
      </c>
      <c r="F122">
        <f t="shared" ca="1" si="15"/>
        <v>8.0083584527478814E-5</v>
      </c>
      <c r="I122" s="2">
        <f t="shared" ca="1" si="13"/>
        <v>1.3254353196852231E-2</v>
      </c>
      <c r="J122">
        <f t="shared" ca="1" si="8"/>
        <v>1.3254353196852231</v>
      </c>
      <c r="L122" s="2">
        <f t="shared" si="14"/>
        <v>1.4934886752258068E-2</v>
      </c>
      <c r="M122">
        <f t="shared" si="9"/>
        <v>1.4934886752258067</v>
      </c>
      <c r="N122">
        <f t="shared" si="10"/>
        <v>-0.49496883377419332</v>
      </c>
      <c r="O122">
        <f t="shared" si="11"/>
        <v>0.24499414640778502</v>
      </c>
      <c r="Q122" s="2"/>
    </row>
    <row r="123" spans="1:19">
      <c r="A123">
        <v>122</v>
      </c>
      <c r="B123" t="s">
        <v>488</v>
      </c>
      <c r="C123">
        <v>1.688644909</v>
      </c>
      <c r="E123">
        <f t="shared" ca="1" si="12"/>
        <v>3.5253146020410853E-2</v>
      </c>
      <c r="F123">
        <f t="shared" ca="1" si="15"/>
        <v>5.6912678935351278E-5</v>
      </c>
      <c r="I123" s="2">
        <f t="shared" ca="1" si="13"/>
        <v>1.2932570070163232E-2</v>
      </c>
      <c r="J123">
        <f t="shared" ca="1" si="8"/>
        <v>1.2932570070163232</v>
      </c>
      <c r="L123" s="2">
        <f t="shared" si="14"/>
        <v>1.4508175702193551E-2</v>
      </c>
      <c r="M123">
        <f t="shared" si="9"/>
        <v>1.4508175702193551</v>
      </c>
      <c r="N123">
        <f t="shared" si="10"/>
        <v>-0.23782733878064488</v>
      </c>
      <c r="O123">
        <f t="shared" si="11"/>
        <v>5.6561843071483632E-2</v>
      </c>
      <c r="Q123" s="2"/>
    </row>
    <row r="124" spans="1:19">
      <c r="A124">
        <v>123</v>
      </c>
      <c r="B124" t="s">
        <v>489</v>
      </c>
      <c r="C124">
        <v>1.6729974089999999</v>
      </c>
      <c r="E124">
        <f t="shared" ca="1" si="12"/>
        <v>-0.48535925340049324</v>
      </c>
      <c r="F124">
        <f t="shared" ca="1" si="15"/>
        <v>-7.8356397868975633E-4</v>
      </c>
      <c r="I124" s="2">
        <f t="shared" ca="1" si="13"/>
        <v>1.1768636383527497E-2</v>
      </c>
      <c r="J124">
        <f t="shared" ca="1" si="8"/>
        <v>1.1768636383527498</v>
      </c>
      <c r="L124" s="2">
        <f t="shared" si="14"/>
        <v>1.4081464652129035E-2</v>
      </c>
      <c r="M124">
        <f t="shared" si="9"/>
        <v>1.4081464652129034</v>
      </c>
      <c r="N124">
        <f t="shared" si="10"/>
        <v>-0.2648509437870965</v>
      </c>
      <c r="O124">
        <f t="shared" si="11"/>
        <v>7.0146022424915758E-2</v>
      </c>
      <c r="Q124" s="2"/>
    </row>
    <row r="125" spans="1:19">
      <c r="A125">
        <v>124</v>
      </c>
      <c r="B125" s="1">
        <v>35920</v>
      </c>
      <c r="C125">
        <v>1.736095261</v>
      </c>
      <c r="E125">
        <f t="shared" ca="1" si="12"/>
        <v>1.2340656570885473</v>
      </c>
      <c r="F125">
        <f t="shared" ca="1" si="15"/>
        <v>1.9922755968037509E-3</v>
      </c>
      <c r="I125" s="2">
        <f t="shared" ca="1" si="13"/>
        <v>1.340428663537587E-2</v>
      </c>
      <c r="J125">
        <f t="shared" ca="1" si="8"/>
        <v>1.3404286635375871</v>
      </c>
      <c r="L125" s="2">
        <f t="shared" si="14"/>
        <v>1.3654753602064518E-2</v>
      </c>
      <c r="M125">
        <f t="shared" si="9"/>
        <v>1.3654753602064518</v>
      </c>
      <c r="N125">
        <f t="shared" si="10"/>
        <v>-0.37061990079354823</v>
      </c>
      <c r="O125">
        <f t="shared" si="11"/>
        <v>0.13735911086421954</v>
      </c>
      <c r="Q125" s="2"/>
      <c r="S125" s="1"/>
    </row>
    <row r="126" spans="1:19">
      <c r="A126">
        <v>125</v>
      </c>
      <c r="B126" s="1">
        <v>36134</v>
      </c>
      <c r="C126">
        <v>1.90963616</v>
      </c>
      <c r="E126">
        <f t="shared" ca="1" si="12"/>
        <v>-1.5601818062228263</v>
      </c>
      <c r="F126">
        <f t="shared" ca="1" si="15"/>
        <v>-2.5187575079661309E-3</v>
      </c>
      <c r="I126" s="2">
        <f t="shared" ca="1" si="13"/>
        <v>1.0466645170054243E-2</v>
      </c>
      <c r="J126">
        <f t="shared" ca="1" si="8"/>
        <v>1.0466645170054243</v>
      </c>
      <c r="L126" s="2">
        <f t="shared" si="14"/>
        <v>1.3228042552000002E-2</v>
      </c>
      <c r="M126">
        <f t="shared" si="9"/>
        <v>1.3228042552000001</v>
      </c>
      <c r="N126">
        <f t="shared" si="10"/>
        <v>-0.58683190479999991</v>
      </c>
      <c r="O126">
        <f t="shared" si="11"/>
        <v>0.34437168449119615</v>
      </c>
      <c r="Q126" s="2"/>
      <c r="S126" s="1"/>
    </row>
    <row r="127" spans="1:19">
      <c r="A127">
        <v>126</v>
      </c>
      <c r="B127" t="s">
        <v>490</v>
      </c>
      <c r="C127">
        <v>1.9728172470000001</v>
      </c>
      <c r="E127">
        <f t="shared" ca="1" si="12"/>
        <v>-0.71766688187934502</v>
      </c>
      <c r="F127">
        <f t="shared" ca="1" si="15"/>
        <v>-1.1586014141060147E-3</v>
      </c>
      <c r="I127" s="2">
        <f t="shared" ca="1" si="13"/>
        <v>8.9704100407851893E-3</v>
      </c>
      <c r="J127">
        <f t="shared" ca="1" si="8"/>
        <v>0.89704100407851894</v>
      </c>
      <c r="L127" s="2">
        <f t="shared" si="14"/>
        <v>1.2801331501935485E-2</v>
      </c>
      <c r="M127">
        <f t="shared" si="9"/>
        <v>1.2801331501935485</v>
      </c>
      <c r="N127">
        <f t="shared" si="10"/>
        <v>-0.6926840968064516</v>
      </c>
      <c r="O127">
        <f t="shared" si="11"/>
        <v>0.4798112579685696</v>
      </c>
      <c r="Q127" s="2"/>
    </row>
    <row r="128" spans="1:19">
      <c r="A128">
        <v>127</v>
      </c>
      <c r="B128" t="s">
        <v>491</v>
      </c>
      <c r="C128">
        <v>2.0044594670000002</v>
      </c>
      <c r="E128">
        <f t="shared" ca="1" si="12"/>
        <v>-1.482658593962793</v>
      </c>
      <c r="F128">
        <f t="shared" ca="1" si="15"/>
        <v>-2.3936040340935328E-3</v>
      </c>
      <c r="I128" s="2">
        <f t="shared" ca="1" si="13"/>
        <v>6.2777923386654836E-3</v>
      </c>
      <c r="J128">
        <f t="shared" ca="1" si="8"/>
        <v>0.62777923386654833</v>
      </c>
      <c r="L128" s="2">
        <f t="shared" si="14"/>
        <v>1.2374620451870969E-2</v>
      </c>
      <c r="M128">
        <f t="shared" si="9"/>
        <v>1.2374620451870968</v>
      </c>
      <c r="N128">
        <f t="shared" si="10"/>
        <v>-0.76699742181290342</v>
      </c>
      <c r="O128">
        <f t="shared" si="11"/>
        <v>0.5882850450676409</v>
      </c>
      <c r="Q128" s="2"/>
    </row>
    <row r="129" spans="1:19">
      <c r="A129">
        <v>128</v>
      </c>
      <c r="B129" s="1">
        <v>35832</v>
      </c>
      <c r="C129">
        <v>2.0674359949999999</v>
      </c>
      <c r="E129">
        <f t="shared" ca="1" si="12"/>
        <v>-2.168648457471118E-2</v>
      </c>
      <c r="F129">
        <f t="shared" ca="1" si="15"/>
        <v>-3.5010660697413729E-5</v>
      </c>
      <c r="I129" s="2">
        <f t="shared" ca="1" si="13"/>
        <v>6.0263060800830534E-3</v>
      </c>
      <c r="J129">
        <f t="shared" ca="1" si="8"/>
        <v>0.60263060800830537</v>
      </c>
      <c r="L129" s="2">
        <f t="shared" si="14"/>
        <v>1.1947909401806454E-2</v>
      </c>
      <c r="M129">
        <f t="shared" si="9"/>
        <v>1.1947909401806454</v>
      </c>
      <c r="N129">
        <f t="shared" si="10"/>
        <v>-0.8726450548193545</v>
      </c>
      <c r="O129">
        <f t="shared" si="11"/>
        <v>0.76150939170067422</v>
      </c>
      <c r="Q129" s="2"/>
      <c r="S129" s="1"/>
    </row>
    <row r="130" spans="1:19">
      <c r="A130">
        <v>129</v>
      </c>
      <c r="B130" s="1">
        <v>36044</v>
      </c>
      <c r="C130">
        <v>1.7993596430000001</v>
      </c>
      <c r="E130">
        <f t="shared" ca="1" si="12"/>
        <v>0.25646129960317376</v>
      </c>
      <c r="F130">
        <f t="shared" ca="1" si="15"/>
        <v>4.1403112207936374E-4</v>
      </c>
      <c r="I130" s="2">
        <f t="shared" ca="1" si="13"/>
        <v>6.2251119850165937E-3</v>
      </c>
      <c r="J130">
        <f t="shared" ca="1" si="8"/>
        <v>0.62251119850165937</v>
      </c>
      <c r="L130" s="2">
        <f t="shared" si="14"/>
        <v>1.1521198351741938E-2</v>
      </c>
      <c r="M130">
        <f t="shared" si="9"/>
        <v>1.1521198351741937</v>
      </c>
      <c r="N130">
        <f t="shared" si="10"/>
        <v>-0.64723980782580637</v>
      </c>
      <c r="O130">
        <f t="shared" si="11"/>
        <v>0.41891936883438674</v>
      </c>
      <c r="Q130" s="2"/>
      <c r="S130" s="1"/>
    </row>
    <row r="131" spans="1:19">
      <c r="A131">
        <v>130</v>
      </c>
      <c r="B131" t="s">
        <v>492</v>
      </c>
      <c r="C131">
        <v>1.8940154659999999</v>
      </c>
      <c r="E131">
        <f t="shared" ca="1" si="12"/>
        <v>-1.101050221560524</v>
      </c>
      <c r="F131">
        <f t="shared" ca="1" si="15"/>
        <v>-1.7775354776873099E-3</v>
      </c>
      <c r="I131" s="2">
        <f t="shared" ca="1" si="13"/>
        <v>4.2170168041805213E-3</v>
      </c>
      <c r="J131">
        <f t="shared" ref="J131:J140" ca="1" si="16">I131*100</f>
        <v>0.42170168041805212</v>
      </c>
      <c r="L131" s="2">
        <f t="shared" si="14"/>
        <v>1.1094487301677423E-2</v>
      </c>
      <c r="M131">
        <f t="shared" ref="M131:M140" si="17">L131*100</f>
        <v>1.1094487301677423</v>
      </c>
      <c r="N131">
        <f t="shared" ref="N131:N140" si="18">M131-C131</f>
        <v>-0.78456673583225767</v>
      </c>
      <c r="O131">
        <f t="shared" ref="O131:O140" si="19">N131^2</f>
        <v>0.61554496297448358</v>
      </c>
      <c r="Q131" s="2"/>
    </row>
    <row r="132" spans="1:19">
      <c r="A132">
        <v>131</v>
      </c>
      <c r="B132" t="s">
        <v>493</v>
      </c>
      <c r="C132">
        <v>1.6416522570000001</v>
      </c>
      <c r="E132">
        <f t="shared" ref="E132:E140" ca="1" si="20">NORMSINV(RAND())</f>
        <v>1.1857018243052599</v>
      </c>
      <c r="F132">
        <f t="shared" ca="1" si="15"/>
        <v>1.9141970251584117E-3</v>
      </c>
      <c r="I132" s="2">
        <f t="shared" ref="I132:I140" ca="1" si="21">$H$2*(1-1/(157-A132))*I131+F132</f>
        <v>5.9690208753319894E-3</v>
      </c>
      <c r="J132">
        <f t="shared" ca="1" si="16"/>
        <v>0.59690208753319896</v>
      </c>
      <c r="L132" s="2">
        <f t="shared" ref="L132:L140" si="22">$H$2*(1-1/(157-A132))*L131</f>
        <v>1.0667776251612906E-2</v>
      </c>
      <c r="M132">
        <f t="shared" si="17"/>
        <v>1.0667776251612906</v>
      </c>
      <c r="N132">
        <f t="shared" si="18"/>
        <v>-0.57487463183870946</v>
      </c>
      <c r="O132">
        <f t="shared" si="19"/>
        <v>0.33048084233169173</v>
      </c>
      <c r="Q132" s="2"/>
    </row>
    <row r="133" spans="1:19">
      <c r="A133">
        <v>132</v>
      </c>
      <c r="B133" t="s">
        <v>494</v>
      </c>
      <c r="C133">
        <v>1.452345757</v>
      </c>
      <c r="E133">
        <f t="shared" ca="1" si="20"/>
        <v>-2.0659543533184976</v>
      </c>
      <c r="F133">
        <f t="shared" ref="F133:F140" ca="1" si="23">$E$1*E133</f>
        <v>-3.3352767079973824E-3</v>
      </c>
      <c r="I133" s="2">
        <f t="shared" ca="1" si="21"/>
        <v>2.394983332321327E-3</v>
      </c>
      <c r="J133">
        <f t="shared" ca="1" si="16"/>
        <v>0.23949833323213271</v>
      </c>
      <c r="L133" s="2">
        <f t="shared" si="22"/>
        <v>1.024106520154839E-2</v>
      </c>
      <c r="M133">
        <f t="shared" si="17"/>
        <v>1.0241065201548389</v>
      </c>
      <c r="N133">
        <f t="shared" si="18"/>
        <v>-0.42823923684516108</v>
      </c>
      <c r="O133">
        <f t="shared" si="19"/>
        <v>0.18338884397372596</v>
      </c>
      <c r="Q133" s="2"/>
    </row>
    <row r="134" spans="1:19">
      <c r="A134">
        <v>133</v>
      </c>
      <c r="B134" s="1">
        <v>35983</v>
      </c>
      <c r="C134">
        <v>1.531222791</v>
      </c>
      <c r="E134">
        <f t="shared" ca="1" si="20"/>
        <v>-4.2035914208250841E-2</v>
      </c>
      <c r="F134">
        <f t="shared" ca="1" si="23"/>
        <v>-6.7862779897800158E-5</v>
      </c>
      <c r="I134" s="2">
        <f t="shared" ca="1" si="21"/>
        <v>2.2273295802434714E-3</v>
      </c>
      <c r="J134">
        <f t="shared" ca="1" si="16"/>
        <v>0.22273295802434714</v>
      </c>
      <c r="L134" s="2">
        <f t="shared" si="22"/>
        <v>9.8143541514838731E-3</v>
      </c>
      <c r="M134">
        <f t="shared" si="17"/>
        <v>0.98143541514838728</v>
      </c>
      <c r="N134">
        <f t="shared" si="18"/>
        <v>-0.54978737585161275</v>
      </c>
      <c r="O134">
        <f t="shared" si="19"/>
        <v>0.30226615864580247</v>
      </c>
      <c r="Q134" s="2"/>
      <c r="S134" s="1"/>
    </row>
    <row r="135" spans="1:19">
      <c r="A135">
        <v>134</v>
      </c>
      <c r="B135" t="s">
        <v>495</v>
      </c>
      <c r="C135">
        <v>1.42076045</v>
      </c>
      <c r="E135">
        <f t="shared" ca="1" si="20"/>
        <v>-0.68960614963220501</v>
      </c>
      <c r="F135">
        <f t="shared" ca="1" si="23"/>
        <v>-1.1133001679662319E-3</v>
      </c>
      <c r="I135" s="2">
        <f t="shared" ca="1" si="21"/>
        <v>1.0171889957449149E-3</v>
      </c>
      <c r="J135">
        <f t="shared" ca="1" si="16"/>
        <v>0.1017188995744915</v>
      </c>
      <c r="L135" s="2">
        <f t="shared" si="22"/>
        <v>9.3876431014193566E-3</v>
      </c>
      <c r="M135">
        <f t="shared" si="17"/>
        <v>0.93876431014193562</v>
      </c>
      <c r="N135">
        <f t="shared" si="18"/>
        <v>-0.48199613985806433</v>
      </c>
      <c r="O135">
        <f t="shared" si="19"/>
        <v>0.23232027883807471</v>
      </c>
      <c r="Q135" s="2"/>
    </row>
    <row r="136" spans="1:19">
      <c r="A136">
        <v>135</v>
      </c>
      <c r="B136" t="s">
        <v>496</v>
      </c>
      <c r="C136">
        <v>1.4049342010000001</v>
      </c>
      <c r="E136">
        <f t="shared" ca="1" si="20"/>
        <v>0.98250918018311206</v>
      </c>
      <c r="F136">
        <f t="shared" ca="1" si="23"/>
        <v>1.5861628204876161E-3</v>
      </c>
      <c r="I136" s="2">
        <f t="shared" ca="1" si="21"/>
        <v>2.5571159527895803E-3</v>
      </c>
      <c r="J136">
        <f t="shared" ca="1" si="16"/>
        <v>0.25571159527895804</v>
      </c>
      <c r="L136" s="2">
        <f t="shared" si="22"/>
        <v>8.9609320513548401E-3</v>
      </c>
      <c r="M136">
        <f t="shared" si="17"/>
        <v>0.89609320513548396</v>
      </c>
      <c r="N136">
        <f t="shared" si="18"/>
        <v>-0.50884099586451614</v>
      </c>
      <c r="O136">
        <f t="shared" si="19"/>
        <v>0.25891915907239255</v>
      </c>
      <c r="Q136" s="2"/>
    </row>
    <row r="137" spans="1:19">
      <c r="A137">
        <v>136</v>
      </c>
      <c r="B137" t="s">
        <v>497</v>
      </c>
      <c r="C137">
        <v>1.546973063</v>
      </c>
      <c r="E137">
        <f t="shared" ca="1" si="20"/>
        <v>1.1918574424030872</v>
      </c>
      <c r="F137">
        <f t="shared" ca="1" si="23"/>
        <v>1.9241346550155441E-3</v>
      </c>
      <c r="I137" s="2">
        <f t="shared" ca="1" si="21"/>
        <v>4.3594831814818113E-3</v>
      </c>
      <c r="J137">
        <f t="shared" ca="1" si="16"/>
        <v>0.43594831814818114</v>
      </c>
      <c r="L137" s="2">
        <f t="shared" si="22"/>
        <v>8.5342210012903236E-3</v>
      </c>
      <c r="M137">
        <f t="shared" si="17"/>
        <v>0.8534221001290323</v>
      </c>
      <c r="N137">
        <f t="shared" si="18"/>
        <v>-0.69355096287096774</v>
      </c>
      <c r="O137">
        <f t="shared" si="19"/>
        <v>0.48101293809924645</v>
      </c>
      <c r="Q137" s="2"/>
    </row>
    <row r="138" spans="1:19">
      <c r="A138">
        <v>137</v>
      </c>
      <c r="B138" s="1">
        <v>35893</v>
      </c>
      <c r="C138">
        <v>1.5312427120000001</v>
      </c>
      <c r="E138">
        <f t="shared" ca="1" si="20"/>
        <v>-0.9695627113437566</v>
      </c>
      <c r="F138">
        <f t="shared" ca="1" si="23"/>
        <v>-1.5652620411933606E-3</v>
      </c>
      <c r="I138" s="2">
        <f t="shared" ca="1" si="21"/>
        <v>2.5762469812143597E-3</v>
      </c>
      <c r="J138">
        <f t="shared" ca="1" si="16"/>
        <v>0.25762469812143596</v>
      </c>
      <c r="L138" s="2">
        <f t="shared" si="22"/>
        <v>8.107509951225807E-3</v>
      </c>
      <c r="M138">
        <f t="shared" si="17"/>
        <v>0.81075099512258075</v>
      </c>
      <c r="N138">
        <f t="shared" si="18"/>
        <v>-0.72049171687741931</v>
      </c>
      <c r="O138">
        <f t="shared" si="19"/>
        <v>0.51910831408897129</v>
      </c>
      <c r="Q138" s="2"/>
      <c r="S138" s="1"/>
    </row>
    <row r="139" spans="1:19">
      <c r="A139">
        <v>138</v>
      </c>
      <c r="B139" s="1">
        <v>36107</v>
      </c>
      <c r="C139">
        <v>1.5312626110000001</v>
      </c>
      <c r="E139">
        <f t="shared" ca="1" si="20"/>
        <v>0.49795324943059904</v>
      </c>
      <c r="F139">
        <f t="shared" ca="1" si="23"/>
        <v>8.0389572588075904E-4</v>
      </c>
      <c r="I139" s="2">
        <f t="shared" ca="1" si="21"/>
        <v>3.2445507607154157E-3</v>
      </c>
      <c r="J139">
        <f t="shared" ca="1" si="16"/>
        <v>0.32445507607154156</v>
      </c>
      <c r="L139" s="2">
        <f t="shared" si="22"/>
        <v>7.6807989011612914E-3</v>
      </c>
      <c r="M139">
        <f t="shared" si="17"/>
        <v>0.76807989011612909</v>
      </c>
      <c r="N139">
        <f t="shared" si="18"/>
        <v>-0.76318272088387096</v>
      </c>
      <c r="O139">
        <f t="shared" si="19"/>
        <v>0.58244786545570848</v>
      </c>
      <c r="Q139" s="2"/>
      <c r="S139" s="1"/>
    </row>
    <row r="140" spans="1:19">
      <c r="A140">
        <v>139</v>
      </c>
      <c r="B140" t="s">
        <v>498</v>
      </c>
      <c r="C140">
        <v>1.531222791</v>
      </c>
      <c r="E140">
        <f t="shared" ca="1" si="20"/>
        <v>-0.26078458310272667</v>
      </c>
      <c r="F140">
        <f t="shared" ca="1" si="23"/>
        <v>-4.2101063096104197E-4</v>
      </c>
      <c r="I140" s="2">
        <f t="shared" ca="1" si="21"/>
        <v>2.6432873097146283E-3</v>
      </c>
      <c r="J140">
        <f t="shared" ca="1" si="16"/>
        <v>0.26432873097146281</v>
      </c>
      <c r="L140" s="2">
        <f t="shared" si="22"/>
        <v>7.2540878510967749E-3</v>
      </c>
      <c r="M140">
        <f t="shared" si="17"/>
        <v>0.72540878510967743</v>
      </c>
      <c r="N140">
        <f t="shared" si="18"/>
        <v>-0.80581400589032259</v>
      </c>
      <c r="O140">
        <f t="shared" si="19"/>
        <v>0.64933621208900882</v>
      </c>
      <c r="Q140" s="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(2)</vt:lpstr>
      <vt:lpstr>data</vt:lpstr>
      <vt:lpstr>ITL week 1996.01.01 (2)</vt:lpstr>
    </vt:vector>
  </TitlesOfParts>
  <Company>Latvijas Banka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ViktorsA</dc:creator>
  <cp:lastModifiedBy>Administrator</cp:lastModifiedBy>
  <dcterms:created xsi:type="dcterms:W3CDTF">2014-02-04T10:09:04Z</dcterms:created>
  <dcterms:modified xsi:type="dcterms:W3CDTF">2014-07-13T18:39:32Z</dcterms:modified>
</cp:coreProperties>
</file>